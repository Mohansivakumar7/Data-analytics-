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ohan\Documents\"/>
    </mc:Choice>
  </mc:AlternateContent>
  <xr:revisionPtr revIDLastSave="0" documentId="8_{2D028635-D0CC-4E4A-9421-B12DB46A4DB2}" xr6:coauthVersionLast="47" xr6:coauthVersionMax="47" xr10:uidLastSave="{00000000-0000-0000-0000-000000000000}"/>
  <bookViews>
    <workbookView xWindow="-98" yWindow="-98" windowWidth="21795" windowHeight="12975" activeTab="1" xr2:uid="{D0E726CE-7BB1-4A42-AF27-2C4F02B7E7A8}"/>
  </bookViews>
  <sheets>
    <sheet name="Sheet1" sheetId="3" r:id="rId1"/>
    <sheet name="Sheet3" sheetId="4" r:id="rId2"/>
    <sheet name="Sheet2" sheetId="2" r:id="rId3"/>
  </sheets>
  <definedNames>
    <definedName name="Slicer_Actual_amount">#N/A</definedName>
    <definedName name="Slicer_Category">#N/A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c r="H23" i="2"/>
  <c r="H19" i="2"/>
  <c r="H15" i="2"/>
  <c r="H11" i="2"/>
  <c r="H6" i="2"/>
</calcChain>
</file>

<file path=xl/sharedStrings.xml><?xml version="1.0" encoding="utf-8"?>
<sst xmlns="http://schemas.openxmlformats.org/spreadsheetml/2006/main" count="231" uniqueCount="45">
  <si>
    <t>Date</t>
  </si>
  <si>
    <t>Month</t>
  </si>
  <si>
    <t>Category</t>
  </si>
  <si>
    <t>Discription</t>
  </si>
  <si>
    <t>Actual amount</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</si>
  <si>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</si>
  <si>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</si>
  <si>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</si>
  <si>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</si>
  <si>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</si>
  <si>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</si>
  <si>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</si>
  <si>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</si>
  <si>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</si>
  <si>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</si>
  <si>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</si>
  <si>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</si>
  <si>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</si>
  <si>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</si>
  <si>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</si>
  <si>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</si>
  <si>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</si>
  <si>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</si>
  <si>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</si>
  <si>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</si>
  <si>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</si>
  <si>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</si>
  <si>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</si>
  <si>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</si>
  <si>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</si>
  <si>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</si>
  <si>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</si>
  <si>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</si>
  <si>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</si>
  <si>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</si>
  <si>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</si>
  <si>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</si>
  <si>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</si>
  <si>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</si>
  <si>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</si>
  <si>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</si>
  <si>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</si>
  <si>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</si>
  <si>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</si>
  <si>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Sum of Actual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</si>
</sst>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0" fillId="0" borderId="0" xfId="0" applyNumberFormat="1"/>
    <xf numFmtId="164" fontId="3" fillId="4" borderId="0" xfId="0" applyNumberFormat="1" applyFont="1" applyFill="1"/>
    <xf numFmtId="164" fontId="0" fillId="0" borderId="0" xfId="0" applyNumberFormat="1"/>
    <xf numFmtId="164" fontId="2" fillId="2" borderId="0" xfId="0" applyNumberFormat="1" applyFont="1" applyFill="1"/>
    <xf numFmtId="164" fontId="1" fillId="2" borderId="0" xfId="0" applyNumberFormat="1" applyFont="1" applyFill="1"/>
    <xf numFmtId="164" fontId="3" fillId="0" borderId="0" xfId="0" applyNumberFormat="1" applyFont="1"/>
    <xf numFmtId="164" fontId="3" fillId="0" borderId="1" xfId="0" applyNumberFormat="1" applyFont="1" applyBorder="1"/>
    <xf numFmtId="164" fontId="1" fillId="2" borderId="0" xfId="0" applyNumberFormat="1" applyFont="1" applyFill="1" applyAlignment="1">
      <alignment vertical="center"/>
    </xf>
    <xf numFmtId="164" fontId="0" fillId="3" borderId="0" xfId="0" applyNumberFormat="1" applyFill="1"/>
    <xf numFmtId="164"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2.xml" /><Relationship Id="rId5" Type="http://schemas.microsoft.com/office/2007/relationships/slicerCache" Target="slicerCaches/slicerCache1.xml" /><Relationship Id="rId10" Type="http://schemas.openxmlformats.org/officeDocument/2006/relationships/calcChain" Target="calcChain.xml" /><Relationship Id="rId4" Type="http://schemas.openxmlformats.org/officeDocument/2006/relationships/pivotCacheDefinition" Target="pivotCache/pivotCacheDefinition1.xml" /><Relationship Id="rId9"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[DASHBOARD-1.xlsx]Sheet1!PivotTable2</c:name>
    <c:fmtId val="11"/>
  </c:pivotSource>
  <c:chart>
    <c:autoTitleDeleted val="1"/>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Sheet1!$E$4:$E$16</c:f>
              <c:numCache>
                <c:formatCode>General</c:formatCode>
                <c:ptCount val="12"/>
                <c:pt idx="0">
                  <c:v>23900</c:v>
                </c:pt>
                <c:pt idx="1">
                  <c:v>24600</c:v>
                </c:pt>
                <c:pt idx="2">
                  <c:v>22300</c:v>
                </c:pt>
                <c:pt idx="3">
                  <c:v>24200</c:v>
                </c:pt>
                <c:pt idx="4">
                  <c:v>24400</c:v>
                </c:pt>
                <c:pt idx="5">
                  <c:v>26000</c:v>
                </c:pt>
                <c:pt idx="6">
                  <c:v>22900</c:v>
                </c:pt>
                <c:pt idx="7">
                  <c:v>24500</c:v>
                </c:pt>
                <c:pt idx="8">
                  <c:v>23400</c:v>
                </c:pt>
                <c:pt idx="9">
                  <c:v>26500</c:v>
                </c:pt>
                <c:pt idx="10">
                  <c:v>24300</c:v>
                </c:pt>
                <c:pt idx="11">
                  <c:v>28000</c:v>
                </c:pt>
              </c:numCache>
            </c:numRef>
          </c:val>
          <c:extLst>
            <c:ext xmlns:c16="http://schemas.microsoft.com/office/drawing/2014/chart" uri="{C3380CC4-5D6E-409C-BE32-E72D297353CC}">
              <c16:uniqueId val="{00000000-D12E-4A86-BCA2-77DFE156A416}"/>
            </c:ext>
          </c:extLst>
        </c:ser>
        <c:dLbls>
          <c:dLblPos val="outEnd"/>
          <c:showLegendKey val="0"/>
          <c:showVal val="1"/>
          <c:showCatName val="0"/>
          <c:showSerName val="0"/>
          <c:showPercent val="0"/>
          <c:showBubbleSize val="0"/>
        </c:dLbls>
        <c:gapWidth val="80"/>
        <c:overlap val="25"/>
        <c:axId val="2047511280"/>
        <c:axId val="2047504080"/>
      </c:barChart>
      <c:catAx>
        <c:axId val="204751128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047504080"/>
        <c:crosses val="autoZero"/>
        <c:auto val="1"/>
        <c:lblAlgn val="ctr"/>
        <c:lblOffset val="100"/>
        <c:noMultiLvlLbl val="0"/>
      </c:catAx>
      <c:valAx>
        <c:axId val="2047504080"/>
        <c:scaling>
          <c:orientation val="minMax"/>
        </c:scaling>
        <c:delete val="1"/>
        <c:axPos val="l"/>
        <c:numFmt formatCode="General" sourceLinked="1"/>
        <c:majorTickMark val="none"/>
        <c:minorTickMark val="none"/>
        <c:tickLblPos val="nextTo"/>
        <c:crossAx val="204751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[DASHBOARD-1.xlsx]Sheet1!PivotTable1</c:name>
    <c:fmtId val="6"/>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65617277730594"/>
          <c:y val="8.4681402881463377E-2"/>
          <c:w val="0.67673862642169724"/>
          <c:h val="0.8430657626130067"/>
        </c:manualLayout>
      </c:layout>
      <c:barChart>
        <c:barDir val="bar"/>
        <c:grouping val="clustered"/>
        <c:varyColors val="0"/>
        <c:ser>
          <c:idx val="0"/>
          <c:order val="0"/>
          <c:tx>
            <c:strRef>
              <c:f>Sheet1!$B$3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Sheet1!$B$4:$B$18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extLst>
            <c:ext xmlns:c16="http://schemas.microsoft.com/office/drawing/2014/chart" uri="{C3380CC4-5D6E-409C-BE32-E72D297353CC}">
              <c16:uniqueId val="{00000000-1D6F-4506-83DF-6A79C03CE3EA}"/>
            </c:ext>
          </c:extLst>
        </c:ser>
        <c:dLbls>
          <c:dLblPos val="outEnd"/>
          <c:showLegendKey val="0"/>
          <c:showVal val="1"/>
          <c:showCatName val="0"/>
          <c:showSerName val="0"/>
          <c:showPercent val="0"/>
          <c:showBubbleSize val="0"/>
        </c:dLbls>
        <c:gapWidth val="32"/>
        <c:axId val="113325872"/>
        <c:axId val="113322032"/>
      </c:barChart>
      <c:catAx>
        <c:axId val="1133258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322032"/>
        <c:crosses val="autoZero"/>
        <c:auto val="1"/>
        <c:lblAlgn val="ctr"/>
        <c:lblOffset val="100"/>
        <c:noMultiLvlLbl val="0"/>
      </c:catAx>
      <c:valAx>
        <c:axId val="113322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332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[DASHBOARD-1.xlsx]Sheet1!PivotTable3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9525371828521431E-3"/>
              <c:y val="-3.80763342082240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1084864391951005E-2"/>
              <c:y val="2.49591717701953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4.2567804024496942E-3"/>
              <c:y val="-1.23242927967337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475503062117238"/>
              <c:y val="-3.08442694663167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2773403324584554E-3"/>
              <c:y val="-6.92840478273553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A2F-4F4E-8F9C-CBE36096C7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A2F-4F4E-8F9C-CBE36096C7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2F-4F4E-8F9C-CBE36096C7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DA2F-4F4E-8F9C-CBE36096C7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DA2F-4F4E-8F9C-CBE36096C730}"/>
              </c:ext>
            </c:extLst>
          </c:dPt>
          <c:dLbls>
            <c:dLbl>
              <c:idx val="0"/>
              <c:layout>
                <c:manualLayout>
                  <c:x val="4.1084864391951005E-2"/>
                  <c:y val="2.495917177019539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2F-4F4E-8F9C-CBE36096C730}"/>
                </c:ext>
              </c:extLst>
            </c:dLbl>
            <c:dLbl>
              <c:idx val="1"/>
              <c:layout>
                <c:manualLayout>
                  <c:x val="4.9525371828521431E-3"/>
                  <c:y val="-3.807633420822401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2F-4F4E-8F9C-CBE36096C730}"/>
                </c:ext>
              </c:extLst>
            </c:dLbl>
            <c:dLbl>
              <c:idx val="2"/>
              <c:layout>
                <c:manualLayout>
                  <c:x val="-0.10475503062117238"/>
                  <c:y val="-3.08442694663167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2F-4F4E-8F9C-CBE36096C730}"/>
                </c:ext>
              </c:extLst>
            </c:dLbl>
            <c:dLbl>
              <c:idx val="3"/>
              <c:layout>
                <c:manualLayout>
                  <c:x val="-2.2773403324584554E-3"/>
                  <c:y val="-6.928404782735533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A2F-4F4E-8F9C-CBE36096C730}"/>
                </c:ext>
              </c:extLst>
            </c:dLbl>
            <c:dLbl>
              <c:idx val="4"/>
              <c:layout>
                <c:manualLayout>
                  <c:x val="4.2567804024496942E-3"/>
                  <c:y val="-1.232429279673376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2F-4F4E-8F9C-CBE36096C7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Sheet1!$I$4:$I$9</c:f>
              <c:strCache>
                <c:ptCount val="5"/>
                <c:pt idx="0">
                  <c:v>Entertainment</c:v>
                </c:pt>
                <c:pt idx="1">
                  <c:v>Food</c:v>
                </c:pt>
                <c:pt idx="2">
                  <c:v>Rent</c:v>
                </c:pt>
                <c:pt idx="3">
                  <c:v>Transport</c:v>
                </c:pt>
                <c:pt idx="4">
                  <c:v>Utilities</c:v>
                </c:pt>
              </c:strCache>
            </c:strRef>
          </c:cat>
          <c:val>
            <c:numRef>
              <c:f>Sheet1!$J$4:$J$9</c:f>
              <c:numCache>
                <c:formatCode>General</c:formatCode>
                <c:ptCount val="5"/>
                <c:pt idx="0">
                  <c:v>28400</c:v>
                </c:pt>
                <c:pt idx="1">
                  <c:v>55800</c:v>
                </c:pt>
                <c:pt idx="2">
                  <c:v>144000</c:v>
                </c:pt>
                <c:pt idx="3">
                  <c:v>36000</c:v>
                </c:pt>
                <c:pt idx="4">
                  <c:v>30800</c:v>
                </c:pt>
              </c:numCache>
            </c:numRef>
          </c:val>
          <c:extLst>
            <c:ext xmlns:c16="http://schemas.microsoft.com/office/drawing/2014/chart" uri="{C3380CC4-5D6E-409C-BE32-E72D297353CC}">
              <c16:uniqueId val="{00000000-DA2F-4F4E-8F9C-CBE36096C73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[DASHBOARD-1.xlsx]Sheet1!PivotTable3</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1105752405949257E-2"/>
              <c:y val="1.05271216097987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215113735783027E-2"/>
              <c:y val="6.58318751822688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1916447944007002E-2"/>
              <c:y val="-2.22058180227471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8131561679790027E-2"/>
              <c:y val="-3.81656459609215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8005129046369206"/>
              <c:y val="-0.140136337124526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F8BB-4882-AA7E-B48774F98A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F8BB-4882-AA7E-B48774F98A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F8BB-4882-AA7E-B48774F98A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F8BB-4882-AA7E-B48774F98A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F8BB-4882-AA7E-B48774F98AA9}"/>
              </c:ext>
            </c:extLst>
          </c:dPt>
          <c:dLbls>
            <c:dLbl>
              <c:idx val="0"/>
              <c:layout>
                <c:manualLayout>
                  <c:x val="-5.1916447944007002E-2"/>
                  <c:y val="-2.22058180227471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8BB-4882-AA7E-B48774F98AA9}"/>
                </c:ext>
              </c:extLst>
            </c:dLbl>
            <c:dLbl>
              <c:idx val="1"/>
              <c:layout>
                <c:manualLayout>
                  <c:x val="1.8131561679790027E-2"/>
                  <c:y val="-3.816564596092154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BB-4882-AA7E-B48774F98AA9}"/>
                </c:ext>
              </c:extLst>
            </c:dLbl>
            <c:dLbl>
              <c:idx val="2"/>
              <c:layout>
                <c:manualLayout>
                  <c:x val="-0.18005129046369206"/>
                  <c:y val="-0.1401363371245261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8BB-4882-AA7E-B48774F98AA9}"/>
                </c:ext>
              </c:extLst>
            </c:dLbl>
            <c:dLbl>
              <c:idx val="3"/>
              <c:layout>
                <c:manualLayout>
                  <c:x val="-1.1105752405949257E-2"/>
                  <c:y val="1.05271216097987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BB-4882-AA7E-B48774F98AA9}"/>
                </c:ext>
              </c:extLst>
            </c:dLbl>
            <c:dLbl>
              <c:idx val="4"/>
              <c:layout>
                <c:manualLayout>
                  <c:x val="-2.215113735783027E-2"/>
                  <c:y val="6.583187518226888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BB-4882-AA7E-B48774F98A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Sheet1!$I$4:$I$9</c:f>
              <c:strCache>
                <c:ptCount val="5"/>
                <c:pt idx="0">
                  <c:v>Entertainment</c:v>
                </c:pt>
                <c:pt idx="1">
                  <c:v>Food</c:v>
                </c:pt>
                <c:pt idx="2">
                  <c:v>Rent</c:v>
                </c:pt>
                <c:pt idx="3">
                  <c:v>Transport</c:v>
                </c:pt>
                <c:pt idx="4">
                  <c:v>Utilities</c:v>
                </c:pt>
              </c:strCache>
            </c:strRef>
          </c:cat>
          <c:val>
            <c:numRef>
              <c:f>Sheet1!$J$4:$J$9</c:f>
              <c:numCache>
                <c:formatCode>General</c:formatCode>
                <c:ptCount val="5"/>
                <c:pt idx="0">
                  <c:v>28400</c:v>
                </c:pt>
                <c:pt idx="1">
                  <c:v>55800</c:v>
                </c:pt>
                <c:pt idx="2">
                  <c:v>144000</c:v>
                </c:pt>
                <c:pt idx="3">
                  <c:v>36000</c:v>
                </c:pt>
                <c:pt idx="4">
                  <c:v>30800</c:v>
                </c:pt>
              </c:numCache>
            </c:numRef>
          </c:val>
          <c:extLst>
            <c:ext xmlns:c16="http://schemas.microsoft.com/office/drawing/2014/chart" uri="{C3380CC4-5D6E-409C-BE32-E72D297353CC}">
              <c16:uniqueId val="{00000000-F8BB-4882-AA7E-B48774F98AA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[DASHBOARD-1.xlsx]Sheet1!PivotTable1</c:name>
    <c:fmtId val="1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00545858802788"/>
          <c:y val="3.4942642008591998E-2"/>
          <c:w val="0.77513788162055808"/>
          <c:h val="0.88117647200039373"/>
        </c:manualLayout>
      </c:layout>
      <c:barChart>
        <c:barDir val="bar"/>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Sheet1!$A$4:$A$18</c:f>
              <c:strCache>
                <c:ptCount val="14"/>
                <c:pt idx="0">
                  <c:v>Bus pass</c:v>
                </c:pt>
                <c:pt idx="1">
                  <c:v>Bus&amp;Fuel</c:v>
                </c:pt>
                <c:pt idx="2">
                  <c:v>Electricity bill</c:v>
                </c:pt>
                <c:pt idx="3">
                  <c:v>Festival Shopping</c:v>
                </c:pt>
                <c:pt idx="4">
                  <c:v>Fuel</c:v>
                </c:pt>
                <c:pt idx="5">
                  <c:v>Groceries</c:v>
                </c:pt>
                <c:pt idx="6">
                  <c:v>House Rent</c:v>
                </c:pt>
                <c:pt idx="7">
                  <c:v>Movies</c:v>
                </c:pt>
                <c:pt idx="8">
                  <c:v>Outgoing</c:v>
                </c:pt>
                <c:pt idx="9">
                  <c:v>Shopping</c:v>
                </c:pt>
                <c:pt idx="10">
                  <c:v>Travel</c:v>
                </c:pt>
                <c:pt idx="11">
                  <c:v>Trip</c:v>
                </c:pt>
                <c:pt idx="12">
                  <c:v>Water&amp;Power</c:v>
                </c:pt>
                <c:pt idx="13">
                  <c:v>Year-End Party</c:v>
                </c:pt>
              </c:strCache>
            </c:strRef>
          </c:cat>
          <c:val>
            <c:numRef>
              <c:f>Sheet1!$B$4:$B$18</c:f>
              <c:numCache>
                <c:formatCode>General</c:formatCode>
                <c:ptCount val="14"/>
                <c:pt idx="0">
                  <c:v>7900</c:v>
                </c:pt>
                <c:pt idx="1">
                  <c:v>6000</c:v>
                </c:pt>
                <c:pt idx="2">
                  <c:v>28400</c:v>
                </c:pt>
                <c:pt idx="3">
                  <c:v>3500</c:v>
                </c:pt>
                <c:pt idx="4">
                  <c:v>18500</c:v>
                </c:pt>
                <c:pt idx="5">
                  <c:v>55800</c:v>
                </c:pt>
                <c:pt idx="6">
                  <c:v>144000</c:v>
                </c:pt>
                <c:pt idx="7">
                  <c:v>10300</c:v>
                </c:pt>
                <c:pt idx="8">
                  <c:v>3500</c:v>
                </c:pt>
                <c:pt idx="9">
                  <c:v>4300</c:v>
                </c:pt>
                <c:pt idx="10">
                  <c:v>3600</c:v>
                </c:pt>
                <c:pt idx="11">
                  <c:v>2800</c:v>
                </c:pt>
                <c:pt idx="12">
                  <c:v>2400</c:v>
                </c:pt>
                <c:pt idx="13">
                  <c:v>4000</c:v>
                </c:pt>
              </c:numCache>
            </c:numRef>
          </c:val>
          <c:extLst>
            <c:ext xmlns:c16="http://schemas.microsoft.com/office/drawing/2014/chart" uri="{C3380CC4-5D6E-409C-BE32-E72D297353CC}">
              <c16:uniqueId val="{00000000-2D1F-4C41-AD93-D41E842CA3A5}"/>
            </c:ext>
          </c:extLst>
        </c:ser>
        <c:dLbls>
          <c:dLblPos val="outEnd"/>
          <c:showLegendKey val="0"/>
          <c:showVal val="1"/>
          <c:showCatName val="0"/>
          <c:showSerName val="0"/>
          <c:showPercent val="0"/>
          <c:showBubbleSize val="0"/>
        </c:dLbls>
        <c:gapWidth val="82"/>
        <c:overlap val="-20"/>
        <c:axId val="113325872"/>
        <c:axId val="113322032"/>
      </c:barChart>
      <c:catAx>
        <c:axId val="1133258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22032"/>
        <c:crosses val="autoZero"/>
        <c:auto val="1"/>
        <c:lblAlgn val="ctr"/>
        <c:lblOffset val="100"/>
        <c:noMultiLvlLbl val="0"/>
      </c:catAx>
      <c:valAx>
        <c:axId val="113322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2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[DASHBOARD-1.xlsx]Sheet1!PivotTable3</c:name>
    <c:fmtId val="18"/>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1.1105752405949257E-2"/>
              <c:y val="1.05271216097987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2.215113735783027E-2"/>
              <c:y val="6.58318751822688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1916447944007002E-2"/>
              <c:y val="-2.22058180227471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1.8131561679790027E-2"/>
              <c:y val="-3.81656459609215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0.18005129046369206"/>
              <c:y val="-0.140136337124526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1916447944007002E-2"/>
              <c:y val="-2.22058180227471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8131561679790027E-2"/>
              <c:y val="-3.81656459609215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8005129046369206"/>
              <c:y val="-0.140136337124526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1105752405949257E-2"/>
              <c:y val="1.05271216097987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215113735783027E-2"/>
              <c:y val="6.58318751822688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5.1916447944007002E-2"/>
              <c:y val="-2.22058180227471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1.8131561679790027E-2"/>
              <c:y val="-3.81656459609215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8005129046369206"/>
              <c:y val="-0.140136337124526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1.1105752405949257E-2"/>
              <c:y val="1.05271216097987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2.215113735783027E-2"/>
              <c:y val="6.58318751822688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C3-4B22-B813-00C806A520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C3-4B22-B813-00C806A520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C3-4B22-B813-00C806A520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C3-4B22-B813-00C806A520E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C3-4B22-B813-00C806A520E0}"/>
              </c:ext>
            </c:extLst>
          </c:dPt>
          <c:dLbls>
            <c:dLbl>
              <c:idx val="0"/>
              <c:layout>
                <c:manualLayout>
                  <c:x val="-5.1916447944007002E-2"/>
                  <c:y val="-2.22058180227471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C3-4B22-B813-00C806A520E0}"/>
                </c:ext>
              </c:extLst>
            </c:dLbl>
            <c:dLbl>
              <c:idx val="1"/>
              <c:layout>
                <c:manualLayout>
                  <c:x val="1.8131561679790027E-2"/>
                  <c:y val="-3.816564596092154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C3-4B22-B813-00C806A520E0}"/>
                </c:ext>
              </c:extLst>
            </c:dLbl>
            <c:dLbl>
              <c:idx val="2"/>
              <c:layout>
                <c:manualLayout>
                  <c:x val="-0.18005129046369206"/>
                  <c:y val="-0.1401363371245261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C3-4B22-B813-00C806A520E0}"/>
                </c:ext>
              </c:extLst>
            </c:dLbl>
            <c:dLbl>
              <c:idx val="3"/>
              <c:layout>
                <c:manualLayout>
                  <c:x val="-1.1105752405949257E-2"/>
                  <c:y val="1.05271216097987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1C3-4B22-B813-00C806A520E0}"/>
                </c:ext>
              </c:extLst>
            </c:dLbl>
            <c:dLbl>
              <c:idx val="4"/>
              <c:layout>
                <c:manualLayout>
                  <c:x val="-2.215113735783027E-2"/>
                  <c:y val="6.583187518226888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1C3-4B22-B813-00C806A520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Sheet1!$I$4:$I$9</c:f>
              <c:strCache>
                <c:ptCount val="5"/>
                <c:pt idx="0">
                  <c:v>Entertainment</c:v>
                </c:pt>
                <c:pt idx="1">
                  <c:v>Food</c:v>
                </c:pt>
                <c:pt idx="2">
                  <c:v>Rent</c:v>
                </c:pt>
                <c:pt idx="3">
                  <c:v>Transport</c:v>
                </c:pt>
                <c:pt idx="4">
                  <c:v>Utilities</c:v>
                </c:pt>
              </c:strCache>
            </c:strRef>
          </c:cat>
          <c:val>
            <c:numRef>
              <c:f>Sheet1!$J$4:$J$9</c:f>
              <c:numCache>
                <c:formatCode>General</c:formatCode>
                <c:ptCount val="5"/>
                <c:pt idx="0">
                  <c:v>28400</c:v>
                </c:pt>
                <c:pt idx="1">
                  <c:v>55800</c:v>
                </c:pt>
                <c:pt idx="2">
                  <c:v>144000</c:v>
                </c:pt>
                <c:pt idx="3">
                  <c:v>36000</c:v>
                </c:pt>
                <c:pt idx="4">
                  <c:v>30800</c:v>
                </c:pt>
              </c:numCache>
            </c:numRef>
          </c:val>
          <c:extLst>
            <c:ext xmlns:c16="http://schemas.microsoft.com/office/drawing/2014/chart" uri="{C3380CC4-5D6E-409C-BE32-E72D297353CC}">
              <c16:uniqueId val="{0000000A-51C3-4B22-B813-00C806A520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[DASHBOARD-1.xlsx]Sheet1!PivotTable2</c:name>
    <c:fmtId val="15"/>
  </c:pivotSource>
  <c:chart>
    <c:autoTitleDeleted val="1"/>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Sheet1!$E$4:$E$16</c:f>
              <c:numCache>
                <c:formatCode>General</c:formatCode>
                <c:ptCount val="12"/>
                <c:pt idx="0">
                  <c:v>23900</c:v>
                </c:pt>
                <c:pt idx="1">
                  <c:v>24600</c:v>
                </c:pt>
                <c:pt idx="2">
                  <c:v>22300</c:v>
                </c:pt>
                <c:pt idx="3">
                  <c:v>24200</c:v>
                </c:pt>
                <c:pt idx="4">
                  <c:v>24400</c:v>
                </c:pt>
                <c:pt idx="5">
                  <c:v>26000</c:v>
                </c:pt>
                <c:pt idx="6">
                  <c:v>22900</c:v>
                </c:pt>
                <c:pt idx="7">
                  <c:v>24500</c:v>
                </c:pt>
                <c:pt idx="8">
                  <c:v>23400</c:v>
                </c:pt>
                <c:pt idx="9">
                  <c:v>26500</c:v>
                </c:pt>
                <c:pt idx="10">
                  <c:v>24300</c:v>
                </c:pt>
                <c:pt idx="11">
                  <c:v>28000</c:v>
                </c:pt>
              </c:numCache>
            </c:numRef>
          </c:val>
          <c:extLst>
            <c:ext xmlns:c16="http://schemas.microsoft.com/office/drawing/2014/chart" uri="{C3380CC4-5D6E-409C-BE32-E72D297353CC}">
              <c16:uniqueId val="{00000000-DEB9-4D9A-8A0E-DE7B97092A9B}"/>
            </c:ext>
          </c:extLst>
        </c:ser>
        <c:dLbls>
          <c:dLblPos val="outEnd"/>
          <c:showLegendKey val="0"/>
          <c:showVal val="1"/>
          <c:showCatName val="0"/>
          <c:showSerName val="0"/>
          <c:showPercent val="0"/>
          <c:showBubbleSize val="0"/>
        </c:dLbls>
        <c:gapWidth val="80"/>
        <c:overlap val="25"/>
        <c:axId val="2047511280"/>
        <c:axId val="2047504080"/>
      </c:barChart>
      <c:catAx>
        <c:axId val="204751128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047504080"/>
        <c:crosses val="autoZero"/>
        <c:auto val="1"/>
        <c:lblAlgn val="ctr"/>
        <c:lblOffset val="100"/>
        <c:noMultiLvlLbl val="0"/>
      </c:catAx>
      <c:valAx>
        <c:axId val="2047504080"/>
        <c:scaling>
          <c:orientation val="minMax"/>
        </c:scaling>
        <c:delete val="1"/>
        <c:axPos val="l"/>
        <c:numFmt formatCode="General" sourceLinked="1"/>
        <c:majorTickMark val="none"/>
        <c:minorTickMark val="none"/>
        <c:tickLblPos val="nextTo"/>
        <c:crossAx val="204751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4" Type="http://schemas.openxmlformats.org/officeDocument/2006/relationships/chart" Target="../charts/chart4.xml" /></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 /><Relationship Id="rId2" Type="http://schemas.openxmlformats.org/officeDocument/2006/relationships/chart" Target="../charts/chart6.xml" /><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dr:twoCellAnchor>
    <xdr:from>
      <xdr:col>7</xdr:col>
      <xdr:colOff>542925</xdr:colOff>
      <xdr:row>18</xdr:row>
      <xdr:rowOff>66675</xdr:rowOff>
    </xdr:from>
    <xdr:to>
      <xdr:col>13</xdr:col>
      <xdr:colOff>602455</xdr:colOff>
      <xdr:row>36</xdr:row>
      <xdr:rowOff>90488</xdr:rowOff>
    </xdr:to>
    <xdr:graphicFrame macro="">
      <xdr:nvGraphicFramePr>
        <xdr:cNvPr id="3" name="Chart 2">
          <a:extLst>
            <a:ext uri="{FF2B5EF4-FFF2-40B4-BE49-F238E27FC236}">
              <a16:creationId xmlns:a16="http://schemas.microsoft.com/office/drawing/2014/main" id="{471B541C-1B93-97CD-C966-CBDD0D8AA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342899</xdr:colOff>
      <xdr:row>18</xdr:row>
      <xdr:rowOff>119063</xdr:rowOff>
    </xdr:from>
    <xdr:to>
      <xdr:col>7</xdr:col>
      <xdr:colOff>61911</xdr:colOff>
      <xdr:row>36</xdr:row>
      <xdr:rowOff>138112</xdr:rowOff>
    </xdr:to>
    <xdr:graphicFrame macro="">
      <xdr:nvGraphicFramePr>
        <xdr:cNvPr id="4" name="Chart 3">
          <a:extLst>
            <a:ext uri="{FF2B5EF4-FFF2-40B4-BE49-F238E27FC236}">
              <a16:creationId xmlns:a16="http://schemas.microsoft.com/office/drawing/2014/main" id="{11EB4514-5185-2808-0BF8-9DC481B7B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492919</xdr:colOff>
      <xdr:row>39</xdr:row>
      <xdr:rowOff>76200</xdr:rowOff>
    </xdr:from>
    <xdr:to>
      <xdr:col>4</xdr:col>
      <xdr:colOff>1231106</xdr:colOff>
      <xdr:row>55</xdr:row>
      <xdr:rowOff>166687</xdr:rowOff>
    </xdr:to>
    <xdr:graphicFrame macro="">
      <xdr:nvGraphicFramePr>
        <xdr:cNvPr id="6" name="Chart 5">
          <a:extLst>
            <a:ext uri="{FF2B5EF4-FFF2-40B4-BE49-F238E27FC236}">
              <a16:creationId xmlns:a16="http://schemas.microsoft.com/office/drawing/2014/main" id="{E1B768E2-D054-540F-AC4C-3DD65B8D9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300037</xdr:colOff>
      <xdr:row>0</xdr:row>
      <xdr:rowOff>28576</xdr:rowOff>
    </xdr:from>
    <xdr:to>
      <xdr:col>13</xdr:col>
      <xdr:colOff>185737</xdr:colOff>
      <xdr:row>9</xdr:row>
      <xdr:rowOff>152401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C8D1E07F-FCCC-8EF8-5EB3-8EEA621B280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91550" y="28576"/>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1176337</xdr:colOff>
      <xdr:row>13</xdr:row>
      <xdr:rowOff>38100</xdr:rowOff>
    </xdr:from>
    <xdr:to>
      <xdr:col>8</xdr:col>
      <xdr:colOff>700087</xdr:colOff>
      <xdr:row>27</xdr:row>
      <xdr:rowOff>100017</xdr:rowOff>
    </xdr:to>
    <mc:AlternateContent xmlns:mc="http://schemas.openxmlformats.org/markup-compatibility/2006" xmlns:a14="http://schemas.microsoft.com/office/drawing/2010/main">
      <mc:Choice Requires="a14">
        <xdr:graphicFrame macro="">
          <xdr:nvGraphicFramePr>
            <xdr:cNvPr id="8" name="Actual amount">
              <a:extLst>
                <a:ext uri="{FF2B5EF4-FFF2-40B4-BE49-F238E27FC236}">
                  <a16:creationId xmlns:a16="http://schemas.microsoft.com/office/drawing/2014/main" id="{9660E461-54CC-28B4-7AC5-3D67DA6D404C}"/>
                </a:ext>
              </a:extLst>
            </xdr:cNvPr>
            <xdr:cNvGraphicFramePr/>
          </xdr:nvGraphicFramePr>
          <xdr:xfrm>
            <a:off x="0" y="0"/>
            <a:ext cx="0" cy="0"/>
          </xdr:xfrm>
          <a:graphic>
            <a:graphicData uri="http://schemas.microsoft.com/office/drawing/2010/slicer">
              <sle:slicer xmlns:sle="http://schemas.microsoft.com/office/drawing/2010/slicer" name="Actual amount"/>
            </a:graphicData>
          </a:graphic>
        </xdr:graphicFrame>
      </mc:Choice>
      <mc:Fallback xmlns="">
        <xdr:sp macro="" textlink="">
          <xdr:nvSpPr>
            <xdr:cNvPr id="0" name=""/>
            <xdr:cNvSpPr>
              <a:spLocks noTextEdit="1"/>
            </xdr:cNvSpPr>
          </xdr:nvSpPr>
          <xdr:spPr>
            <a:xfrm>
              <a:off x="5010150" y="2390775"/>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364331</xdr:colOff>
      <xdr:row>3</xdr:row>
      <xdr:rowOff>147637</xdr:rowOff>
    </xdr:from>
    <xdr:to>
      <xdr:col>4</xdr:col>
      <xdr:colOff>1102518</xdr:colOff>
      <xdr:row>18</xdr:row>
      <xdr:rowOff>176212</xdr:rowOff>
    </xdr:to>
    <xdr:graphicFrame macro="">
      <xdr:nvGraphicFramePr>
        <xdr:cNvPr id="9" name="Chart 8">
          <a:extLst>
            <a:ext uri="{FF2B5EF4-FFF2-40B4-BE49-F238E27FC236}">
              <a16:creationId xmlns:a16="http://schemas.microsoft.com/office/drawing/2014/main" id="{7ACB6E25-80BF-DC39-DF49-CF3F29DF2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607088</xdr:colOff>
      <xdr:row>9</xdr:row>
      <xdr:rowOff>57148</xdr:rowOff>
    </xdr:to>
    <xdr:sp macro="" textlink="">
      <xdr:nvSpPr>
        <xdr:cNvPr id="8" name="Rectangle 7">
          <a:extLst>
            <a:ext uri="{FF2B5EF4-FFF2-40B4-BE49-F238E27FC236}">
              <a16:creationId xmlns:a16="http://schemas.microsoft.com/office/drawing/2014/main" id="{CEC12F50-2A33-5537-1867-9DC798822A98}"/>
            </a:ext>
          </a:extLst>
        </xdr:cNvPr>
        <xdr:cNvSpPr/>
      </xdr:nvSpPr>
      <xdr:spPr>
        <a:xfrm>
          <a:off x="0" y="0"/>
          <a:ext cx="10322588" cy="1685924"/>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7</xdr:row>
      <xdr:rowOff>114224</xdr:rowOff>
    </xdr:from>
    <xdr:to>
      <xdr:col>15</xdr:col>
      <xdr:colOff>601854</xdr:colOff>
      <xdr:row>52</xdr:row>
      <xdr:rowOff>66676</xdr:rowOff>
    </xdr:to>
    <xdr:sp macro="" textlink="">
      <xdr:nvSpPr>
        <xdr:cNvPr id="9" name="Rectangle 8">
          <a:extLst>
            <a:ext uri="{FF2B5EF4-FFF2-40B4-BE49-F238E27FC236}">
              <a16:creationId xmlns:a16="http://schemas.microsoft.com/office/drawing/2014/main" id="{768EF823-2276-12AB-A5BF-9609090F106E}"/>
            </a:ext>
          </a:extLst>
        </xdr:cNvPr>
        <xdr:cNvSpPr/>
      </xdr:nvSpPr>
      <xdr:spPr>
        <a:xfrm>
          <a:off x="0" y="1381050"/>
          <a:ext cx="10317354" cy="809632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397748</xdr:colOff>
      <xdr:row>5</xdr:row>
      <xdr:rowOff>125604</xdr:rowOff>
    </xdr:from>
    <xdr:to>
      <xdr:col>3</xdr:col>
      <xdr:colOff>146540</xdr:colOff>
      <xdr:row>10</xdr:row>
      <xdr:rowOff>104670</xdr:rowOff>
    </xdr:to>
    <xdr:sp macro="" textlink="">
      <xdr:nvSpPr>
        <xdr:cNvPr id="10" name="Rectangle: Rounded Corners 9">
          <a:extLst>
            <a:ext uri="{FF2B5EF4-FFF2-40B4-BE49-F238E27FC236}">
              <a16:creationId xmlns:a16="http://schemas.microsoft.com/office/drawing/2014/main" id="{C7A5EC92-540D-C8D3-A0D6-1DACC7460A10}"/>
            </a:ext>
          </a:extLst>
        </xdr:cNvPr>
        <xdr:cNvSpPr/>
      </xdr:nvSpPr>
      <xdr:spPr>
        <a:xfrm>
          <a:off x="397748" y="1041470"/>
          <a:ext cx="1695660" cy="89493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293079</xdr:colOff>
      <xdr:row>5</xdr:row>
      <xdr:rowOff>125604</xdr:rowOff>
    </xdr:from>
    <xdr:to>
      <xdr:col>10</xdr:col>
      <xdr:colOff>622791</xdr:colOff>
      <xdr:row>10</xdr:row>
      <xdr:rowOff>99436</xdr:rowOff>
    </xdr:to>
    <xdr:sp macro="" textlink="">
      <xdr:nvSpPr>
        <xdr:cNvPr id="11" name="Rectangle: Rounded Corners 10">
          <a:extLst>
            <a:ext uri="{FF2B5EF4-FFF2-40B4-BE49-F238E27FC236}">
              <a16:creationId xmlns:a16="http://schemas.microsoft.com/office/drawing/2014/main" id="{8143B339-BB1A-9DBE-A226-BE64078A5F85}"/>
            </a:ext>
          </a:extLst>
        </xdr:cNvPr>
        <xdr:cNvSpPr/>
      </xdr:nvSpPr>
      <xdr:spPr>
        <a:xfrm>
          <a:off x="5484727" y="1041470"/>
          <a:ext cx="1627624" cy="88969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329711</xdr:colOff>
      <xdr:row>5</xdr:row>
      <xdr:rowOff>125602</xdr:rowOff>
    </xdr:from>
    <xdr:to>
      <xdr:col>7</xdr:col>
      <xdr:colOff>10467</xdr:colOff>
      <xdr:row>10</xdr:row>
      <xdr:rowOff>88968</xdr:rowOff>
    </xdr:to>
    <xdr:sp macro="" textlink="">
      <xdr:nvSpPr>
        <xdr:cNvPr id="12" name="Rectangle: Rounded Corners 11">
          <a:extLst>
            <a:ext uri="{FF2B5EF4-FFF2-40B4-BE49-F238E27FC236}">
              <a16:creationId xmlns:a16="http://schemas.microsoft.com/office/drawing/2014/main" id="{EB26183C-E8A3-7B2A-0FE0-D104B85D681B}"/>
            </a:ext>
          </a:extLst>
        </xdr:cNvPr>
        <xdr:cNvSpPr/>
      </xdr:nvSpPr>
      <xdr:spPr>
        <a:xfrm>
          <a:off x="2925535" y="1041468"/>
          <a:ext cx="1627624" cy="87923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130837</xdr:colOff>
      <xdr:row>5</xdr:row>
      <xdr:rowOff>94203</xdr:rowOff>
    </xdr:from>
    <xdr:to>
      <xdr:col>14</xdr:col>
      <xdr:colOff>444848</xdr:colOff>
      <xdr:row>10</xdr:row>
      <xdr:rowOff>52334</xdr:rowOff>
    </xdr:to>
    <xdr:sp macro="" textlink="">
      <xdr:nvSpPr>
        <xdr:cNvPr id="13" name="Rectangle: Rounded Corners 12">
          <a:extLst>
            <a:ext uri="{FF2B5EF4-FFF2-40B4-BE49-F238E27FC236}">
              <a16:creationId xmlns:a16="http://schemas.microsoft.com/office/drawing/2014/main" id="{5364ABE3-09EB-B1CD-C97B-0C48AEFAD83A}"/>
            </a:ext>
          </a:extLst>
        </xdr:cNvPr>
        <xdr:cNvSpPr/>
      </xdr:nvSpPr>
      <xdr:spPr>
        <a:xfrm>
          <a:off x="7918310" y="1010069"/>
          <a:ext cx="1611923" cy="87399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47102</xdr:colOff>
      <xdr:row>6</xdr:row>
      <xdr:rowOff>52336</xdr:rowOff>
    </xdr:from>
    <xdr:to>
      <xdr:col>2</xdr:col>
      <xdr:colOff>570453</xdr:colOff>
      <xdr:row>7</xdr:row>
      <xdr:rowOff>177939</xdr:rowOff>
    </xdr:to>
    <xdr:sp macro="" textlink="">
      <xdr:nvSpPr>
        <xdr:cNvPr id="14" name="TextBox 13">
          <a:extLst>
            <a:ext uri="{FF2B5EF4-FFF2-40B4-BE49-F238E27FC236}">
              <a16:creationId xmlns:a16="http://schemas.microsoft.com/office/drawing/2014/main" id="{2236F4D5-66B8-8C6D-F9CD-10C51734E2B4}"/>
            </a:ext>
          </a:extLst>
        </xdr:cNvPr>
        <xdr:cNvSpPr txBox="1"/>
      </xdr:nvSpPr>
      <xdr:spPr>
        <a:xfrm>
          <a:off x="696058" y="1151374"/>
          <a:ext cx="1172307" cy="3087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4">
                  <a:lumMod val="75000"/>
                </a:schemeClr>
              </a:solidFill>
            </a:rPr>
            <a:t>TOTAL EXPENSES</a:t>
          </a:r>
        </a:p>
      </xdr:txBody>
    </xdr:sp>
    <xdr:clientData/>
  </xdr:twoCellAnchor>
  <xdr:twoCellAnchor>
    <xdr:from>
      <xdr:col>4</xdr:col>
      <xdr:colOff>559986</xdr:colOff>
      <xdr:row>6</xdr:row>
      <xdr:rowOff>62803</xdr:rowOff>
    </xdr:from>
    <xdr:to>
      <xdr:col>6</xdr:col>
      <xdr:colOff>423915</xdr:colOff>
      <xdr:row>7</xdr:row>
      <xdr:rowOff>157005</xdr:rowOff>
    </xdr:to>
    <xdr:sp macro="" textlink="">
      <xdr:nvSpPr>
        <xdr:cNvPr id="15" name="TextBox 14">
          <a:extLst>
            <a:ext uri="{FF2B5EF4-FFF2-40B4-BE49-F238E27FC236}">
              <a16:creationId xmlns:a16="http://schemas.microsoft.com/office/drawing/2014/main" id="{0B0C3B70-28CD-2C52-3969-DD409E669A42}"/>
            </a:ext>
          </a:extLst>
        </xdr:cNvPr>
        <xdr:cNvSpPr txBox="1"/>
      </xdr:nvSpPr>
      <xdr:spPr>
        <a:xfrm>
          <a:off x="3155810" y="1161841"/>
          <a:ext cx="1161841" cy="2773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4">
                  <a:lumMod val="75000"/>
                </a:schemeClr>
              </a:solidFill>
            </a:rPr>
            <a:t>AVG</a:t>
          </a:r>
          <a:r>
            <a:rPr lang="en-IN" sz="1100"/>
            <a:t> </a:t>
          </a:r>
          <a:r>
            <a:rPr lang="en-IN" sz="1100">
              <a:solidFill>
                <a:schemeClr val="accent4">
                  <a:lumMod val="75000"/>
                </a:schemeClr>
              </a:solidFill>
            </a:rPr>
            <a:t>EXPENSES</a:t>
          </a:r>
        </a:p>
      </xdr:txBody>
    </xdr:sp>
    <xdr:clientData/>
  </xdr:twoCellAnchor>
  <xdr:twoCellAnchor>
    <xdr:from>
      <xdr:col>8</xdr:col>
      <xdr:colOff>518118</xdr:colOff>
      <xdr:row>6</xdr:row>
      <xdr:rowOff>0</xdr:rowOff>
    </xdr:from>
    <xdr:to>
      <xdr:col>10</xdr:col>
      <xdr:colOff>408214</xdr:colOff>
      <xdr:row>8</xdr:row>
      <xdr:rowOff>68035</xdr:rowOff>
    </xdr:to>
    <xdr:sp macro="" textlink="">
      <xdr:nvSpPr>
        <xdr:cNvPr id="16" name="TextBox 15">
          <a:extLst>
            <a:ext uri="{FF2B5EF4-FFF2-40B4-BE49-F238E27FC236}">
              <a16:creationId xmlns:a16="http://schemas.microsoft.com/office/drawing/2014/main" id="{DDC6895D-F7F0-6FB2-3E30-BD03C643017A}"/>
            </a:ext>
          </a:extLst>
        </xdr:cNvPr>
        <xdr:cNvSpPr txBox="1"/>
      </xdr:nvSpPr>
      <xdr:spPr>
        <a:xfrm>
          <a:off x="5709766" y="1099038"/>
          <a:ext cx="1188008" cy="4343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4">
                  <a:lumMod val="75000"/>
                </a:schemeClr>
              </a:solidFill>
            </a:rPr>
            <a:t>TOTAL</a:t>
          </a:r>
          <a:r>
            <a:rPr lang="en-IN" sz="1100"/>
            <a:t> </a:t>
          </a:r>
          <a:r>
            <a:rPr lang="en-IN" sz="1100">
              <a:solidFill>
                <a:schemeClr val="accent4">
                  <a:lumMod val="75000"/>
                </a:schemeClr>
              </a:solidFill>
            </a:rPr>
            <a:t>EXPENSES</a:t>
          </a:r>
          <a:r>
            <a:rPr lang="en-IN" sz="1100"/>
            <a:t> </a:t>
          </a:r>
          <a:r>
            <a:rPr lang="en-IN" sz="1100">
              <a:solidFill>
                <a:schemeClr val="accent4">
                  <a:lumMod val="75000"/>
                </a:schemeClr>
              </a:solidFill>
            </a:rPr>
            <a:t>BY</a:t>
          </a:r>
          <a:r>
            <a:rPr lang="en-IN" sz="1100"/>
            <a:t> </a:t>
          </a:r>
          <a:r>
            <a:rPr lang="en-IN" sz="1100">
              <a:solidFill>
                <a:schemeClr val="accent4">
                  <a:lumMod val="75000"/>
                </a:schemeClr>
              </a:solidFill>
            </a:rPr>
            <a:t>MONTH</a:t>
          </a:r>
        </a:p>
      </xdr:txBody>
    </xdr:sp>
    <xdr:clientData/>
  </xdr:twoCellAnchor>
  <xdr:twoCellAnchor>
    <xdr:from>
      <xdr:col>12</xdr:col>
      <xdr:colOff>340179</xdr:colOff>
      <xdr:row>5</xdr:row>
      <xdr:rowOff>172705</xdr:rowOff>
    </xdr:from>
    <xdr:to>
      <xdr:col>14</xdr:col>
      <xdr:colOff>235508</xdr:colOff>
      <xdr:row>8</xdr:row>
      <xdr:rowOff>157005</xdr:rowOff>
    </xdr:to>
    <xdr:sp macro="" textlink="">
      <xdr:nvSpPr>
        <xdr:cNvPr id="17" name="TextBox 16">
          <a:extLst>
            <a:ext uri="{FF2B5EF4-FFF2-40B4-BE49-F238E27FC236}">
              <a16:creationId xmlns:a16="http://schemas.microsoft.com/office/drawing/2014/main" id="{82A8AC48-CF6C-7AD7-A559-ED606206ED05}"/>
            </a:ext>
          </a:extLst>
        </xdr:cNvPr>
        <xdr:cNvSpPr txBox="1"/>
      </xdr:nvSpPr>
      <xdr:spPr>
        <a:xfrm>
          <a:off x="8127652" y="1088571"/>
          <a:ext cx="1193241" cy="5338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4">
                  <a:lumMod val="75000"/>
                </a:schemeClr>
              </a:solidFill>
            </a:rPr>
            <a:t>AVG EXPENSES</a:t>
          </a:r>
          <a:r>
            <a:rPr lang="en-IN" sz="1100" baseline="0">
              <a:solidFill>
                <a:schemeClr val="accent4">
                  <a:lumMod val="75000"/>
                </a:schemeClr>
              </a:solidFill>
            </a:rPr>
            <a:t> BY MONTH</a:t>
          </a:r>
          <a:endParaRPr lang="en-IN" sz="1100">
            <a:solidFill>
              <a:schemeClr val="accent4">
                <a:lumMod val="75000"/>
              </a:schemeClr>
            </a:solidFill>
          </a:endParaRPr>
        </a:p>
      </xdr:txBody>
    </xdr:sp>
    <xdr:clientData/>
  </xdr:twoCellAnchor>
  <xdr:twoCellAnchor>
    <xdr:from>
      <xdr:col>1</xdr:col>
      <xdr:colOff>68037</xdr:colOff>
      <xdr:row>7</xdr:row>
      <xdr:rowOff>177939</xdr:rowOff>
    </xdr:from>
    <xdr:to>
      <xdr:col>2</xdr:col>
      <xdr:colOff>533819</xdr:colOff>
      <xdr:row>9</xdr:row>
      <xdr:rowOff>120371</xdr:rowOff>
    </xdr:to>
    <xdr:sp macro="" textlink="Sheet2!H6">
      <xdr:nvSpPr>
        <xdr:cNvPr id="18" name="TextBox 17">
          <a:extLst>
            <a:ext uri="{FF2B5EF4-FFF2-40B4-BE49-F238E27FC236}">
              <a16:creationId xmlns:a16="http://schemas.microsoft.com/office/drawing/2014/main" id="{E8509631-4D07-431F-38CF-B1498838E34C}"/>
            </a:ext>
          </a:extLst>
        </xdr:cNvPr>
        <xdr:cNvSpPr txBox="1"/>
      </xdr:nvSpPr>
      <xdr:spPr>
        <a:xfrm>
          <a:off x="716993" y="1460151"/>
          <a:ext cx="1114738" cy="308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74EC44-22A2-4847-B12E-9DC62A1AF95B}" type="TxLink">
            <a:rPr lang="en-US" sz="1200" b="0" i="0" u="none" strike="noStrike">
              <a:solidFill>
                <a:schemeClr val="accent4">
                  <a:lumMod val="75000"/>
                </a:schemeClr>
              </a:solidFill>
              <a:latin typeface="Aptos Narrow"/>
            </a:rPr>
            <a:pPr/>
            <a:t>₹ 2,83,000.00</a:t>
          </a:fld>
          <a:endParaRPr lang="en-IN" sz="1200">
            <a:solidFill>
              <a:schemeClr val="accent4">
                <a:lumMod val="75000"/>
              </a:schemeClr>
            </a:solidFill>
          </a:endParaRPr>
        </a:p>
      </xdr:txBody>
    </xdr:sp>
    <xdr:clientData/>
  </xdr:twoCellAnchor>
  <xdr:twoCellAnchor>
    <xdr:from>
      <xdr:col>5</xdr:col>
      <xdr:colOff>15701</xdr:colOff>
      <xdr:row>8</xdr:row>
      <xdr:rowOff>52335</xdr:rowOff>
    </xdr:from>
    <xdr:to>
      <xdr:col>6</xdr:col>
      <xdr:colOff>287844</xdr:colOff>
      <xdr:row>9</xdr:row>
      <xdr:rowOff>109904</xdr:rowOff>
    </xdr:to>
    <xdr:sp macro="" textlink="Sheet2!H15">
      <xdr:nvSpPr>
        <xdr:cNvPr id="19" name="TextBox 18">
          <a:extLst>
            <a:ext uri="{FF2B5EF4-FFF2-40B4-BE49-F238E27FC236}">
              <a16:creationId xmlns:a16="http://schemas.microsoft.com/office/drawing/2014/main" id="{6167A20F-97B8-328E-3756-39DC9169A985}"/>
            </a:ext>
          </a:extLst>
        </xdr:cNvPr>
        <xdr:cNvSpPr txBox="1"/>
      </xdr:nvSpPr>
      <xdr:spPr>
        <a:xfrm>
          <a:off x="3260481" y="1517720"/>
          <a:ext cx="921099" cy="2407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6C4417-42F6-4CAE-9F9E-075B5EDBD1EE}" type="TxLink">
            <a:rPr lang="en-US" sz="1100" b="0" i="0" u="none" strike="noStrike">
              <a:solidFill>
                <a:schemeClr val="accent4">
                  <a:lumMod val="75000"/>
                </a:schemeClr>
              </a:solidFill>
              <a:latin typeface="Aptos Narrow"/>
            </a:rPr>
            <a:pPr/>
            <a:t>₹ 4,796.61</a:t>
          </a:fld>
          <a:endParaRPr lang="en-IN" sz="1100">
            <a:solidFill>
              <a:schemeClr val="accent4">
                <a:lumMod val="75000"/>
              </a:schemeClr>
            </a:solidFill>
          </a:endParaRPr>
        </a:p>
      </xdr:txBody>
    </xdr:sp>
    <xdr:clientData/>
  </xdr:twoCellAnchor>
  <xdr:twoCellAnchor>
    <xdr:from>
      <xdr:col>9</xdr:col>
      <xdr:colOff>1</xdr:colOff>
      <xdr:row>8</xdr:row>
      <xdr:rowOff>115137</xdr:rowOff>
    </xdr:from>
    <xdr:to>
      <xdr:col>10</xdr:col>
      <xdr:colOff>366347</xdr:colOff>
      <xdr:row>9</xdr:row>
      <xdr:rowOff>146538</xdr:rowOff>
    </xdr:to>
    <xdr:sp macro="" textlink="Sheet2!H19">
      <xdr:nvSpPr>
        <xdr:cNvPr id="20" name="TextBox 19">
          <a:extLst>
            <a:ext uri="{FF2B5EF4-FFF2-40B4-BE49-F238E27FC236}">
              <a16:creationId xmlns:a16="http://schemas.microsoft.com/office/drawing/2014/main" id="{E645422E-BC3C-A8E0-EDB7-6C22A8B0062B}"/>
            </a:ext>
          </a:extLst>
        </xdr:cNvPr>
        <xdr:cNvSpPr txBox="1"/>
      </xdr:nvSpPr>
      <xdr:spPr>
        <a:xfrm>
          <a:off x="5840605" y="1580522"/>
          <a:ext cx="1015302" cy="2145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5A212B-6033-4A84-B9AE-6767EE450269}" type="TxLink">
            <a:rPr lang="en-US" sz="1200" b="0" i="0" u="none" strike="noStrike">
              <a:solidFill>
                <a:schemeClr val="accent4">
                  <a:lumMod val="75000"/>
                </a:schemeClr>
              </a:solidFill>
              <a:latin typeface="Aptos Narrow"/>
            </a:rPr>
            <a:pPr/>
            <a:t>₹ 23,900.00</a:t>
          </a:fld>
          <a:endParaRPr lang="en-IN" sz="1200">
            <a:solidFill>
              <a:schemeClr val="accent4">
                <a:lumMod val="75000"/>
              </a:schemeClr>
            </a:solidFill>
          </a:endParaRPr>
        </a:p>
      </xdr:txBody>
    </xdr:sp>
    <xdr:clientData/>
  </xdr:twoCellAnchor>
  <xdr:twoCellAnchor>
    <xdr:from>
      <xdr:col>12</xdr:col>
      <xdr:colOff>397747</xdr:colOff>
      <xdr:row>8</xdr:row>
      <xdr:rowOff>47103</xdr:rowOff>
    </xdr:from>
    <xdr:to>
      <xdr:col>14</xdr:col>
      <xdr:colOff>151772</xdr:colOff>
      <xdr:row>9</xdr:row>
      <xdr:rowOff>73270</xdr:rowOff>
    </xdr:to>
    <xdr:sp macro="" textlink="Sheet2!H29">
      <xdr:nvSpPr>
        <xdr:cNvPr id="21" name="TextBox 20">
          <a:extLst>
            <a:ext uri="{FF2B5EF4-FFF2-40B4-BE49-F238E27FC236}">
              <a16:creationId xmlns:a16="http://schemas.microsoft.com/office/drawing/2014/main" id="{48153822-D689-FAC1-E714-995739E1F9AC}"/>
            </a:ext>
          </a:extLst>
        </xdr:cNvPr>
        <xdr:cNvSpPr txBox="1"/>
      </xdr:nvSpPr>
      <xdr:spPr>
        <a:xfrm>
          <a:off x="8185220" y="1512488"/>
          <a:ext cx="1051937" cy="209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02E63D-AF10-4BCC-8396-EA7B46E39423}" type="TxLink">
            <a:rPr lang="en-US" sz="1100" b="0" i="0" u="none" strike="noStrike">
              <a:solidFill>
                <a:schemeClr val="accent4">
                  <a:lumMod val="75000"/>
                </a:schemeClr>
              </a:solidFill>
              <a:latin typeface="Aptos Narrow"/>
            </a:rPr>
            <a:pPr/>
            <a:t>₹ 4,780.00</a:t>
          </a:fld>
          <a:endParaRPr lang="en-IN" sz="1100">
            <a:solidFill>
              <a:schemeClr val="accent4">
                <a:lumMod val="75000"/>
              </a:schemeClr>
            </a:solidFill>
          </a:endParaRPr>
        </a:p>
      </xdr:txBody>
    </xdr:sp>
    <xdr:clientData/>
  </xdr:twoCellAnchor>
  <xdr:twoCellAnchor>
    <xdr:from>
      <xdr:col>1</xdr:col>
      <xdr:colOff>575686</xdr:colOff>
      <xdr:row>0</xdr:row>
      <xdr:rowOff>146537</xdr:rowOff>
    </xdr:from>
    <xdr:to>
      <xdr:col>13</xdr:col>
      <xdr:colOff>109902</xdr:colOff>
      <xdr:row>3</xdr:row>
      <xdr:rowOff>120368</xdr:rowOff>
    </xdr:to>
    <xdr:sp macro="" textlink="">
      <xdr:nvSpPr>
        <xdr:cNvPr id="24" name="TextBox 23">
          <a:extLst>
            <a:ext uri="{FF2B5EF4-FFF2-40B4-BE49-F238E27FC236}">
              <a16:creationId xmlns:a16="http://schemas.microsoft.com/office/drawing/2014/main" id="{9F947D5D-F060-1ADD-D6C2-92FA1DAC7003}"/>
            </a:ext>
          </a:extLst>
        </xdr:cNvPr>
        <xdr:cNvSpPr txBox="1"/>
      </xdr:nvSpPr>
      <xdr:spPr>
        <a:xfrm>
          <a:off x="1224642" y="146537"/>
          <a:ext cx="7321689" cy="523351"/>
        </a:xfrm>
        <a:prstGeom prst="rect">
          <a:avLst/>
        </a:prstGeom>
        <a:ln/>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t"/>
        <a:lstStyle/>
        <a:p>
          <a:r>
            <a:rPr lang="en-IN" sz="1100"/>
            <a:t>                                       </a:t>
          </a:r>
          <a:r>
            <a:rPr lang="en-IN" sz="3200"/>
            <a:t>PERSONAL FINANCE DASHBOARD</a:t>
          </a:r>
          <a:endParaRPr lang="en-IN" sz="1100"/>
        </a:p>
      </xdr:txBody>
    </xdr:sp>
    <xdr:clientData/>
  </xdr:twoCellAnchor>
  <xdr:twoCellAnchor>
    <xdr:from>
      <xdr:col>0</xdr:col>
      <xdr:colOff>0</xdr:colOff>
      <xdr:row>10</xdr:row>
      <xdr:rowOff>176345</xdr:rowOff>
    </xdr:from>
    <xdr:to>
      <xdr:col>8</xdr:col>
      <xdr:colOff>34511</xdr:colOff>
      <xdr:row>29</xdr:row>
      <xdr:rowOff>43270</xdr:rowOff>
    </xdr:to>
    <xdr:graphicFrame macro="">
      <xdr:nvGraphicFramePr>
        <xdr:cNvPr id="26" name="Chart 25">
          <a:extLst>
            <a:ext uri="{FF2B5EF4-FFF2-40B4-BE49-F238E27FC236}">
              <a16:creationId xmlns:a16="http://schemas.microsoft.com/office/drawing/2014/main" id="{F83BB019-A018-4908-8E4D-C40CAF0DA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34511</xdr:colOff>
      <xdr:row>10</xdr:row>
      <xdr:rowOff>172553</xdr:rowOff>
    </xdr:from>
    <xdr:to>
      <xdr:col>15</xdr:col>
      <xdr:colOff>593587</xdr:colOff>
      <xdr:row>29</xdr:row>
      <xdr:rowOff>48314</xdr:rowOff>
    </xdr:to>
    <xdr:graphicFrame macro="">
      <xdr:nvGraphicFramePr>
        <xdr:cNvPr id="27" name="Chart 26">
          <a:extLst>
            <a:ext uri="{FF2B5EF4-FFF2-40B4-BE49-F238E27FC236}">
              <a16:creationId xmlns:a16="http://schemas.microsoft.com/office/drawing/2014/main" id="{9EB981F5-14A3-430E-9A99-A4C1D8BE5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76199</xdr:rowOff>
    </xdr:from>
    <xdr:to>
      <xdr:col>10</xdr:col>
      <xdr:colOff>9525</xdr:colOff>
      <xdr:row>52</xdr:row>
      <xdr:rowOff>38100</xdr:rowOff>
    </xdr:to>
    <xdr:graphicFrame macro="">
      <xdr:nvGraphicFramePr>
        <xdr:cNvPr id="28" name="Chart 27">
          <a:extLst>
            <a:ext uri="{FF2B5EF4-FFF2-40B4-BE49-F238E27FC236}">
              <a16:creationId xmlns:a16="http://schemas.microsoft.com/office/drawing/2014/main" id="{FC409620-118F-443F-81B4-660AAAC8E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66674</xdr:colOff>
      <xdr:row>29</xdr:row>
      <xdr:rowOff>95249</xdr:rowOff>
    </xdr:from>
    <xdr:to>
      <xdr:col>15</xdr:col>
      <xdr:colOff>590549</xdr:colOff>
      <xdr:row>39</xdr:row>
      <xdr:rowOff>9524</xdr:rowOff>
    </xdr:to>
    <mc:AlternateContent xmlns:mc="http://schemas.openxmlformats.org/markup-compatibility/2006" xmlns:a14="http://schemas.microsoft.com/office/drawing/2010/main">
      <mc:Choice Requires="a14">
        <xdr:graphicFrame macro="">
          <xdr:nvGraphicFramePr>
            <xdr:cNvPr id="29" name="Category 1">
              <a:extLst>
                <a:ext uri="{FF2B5EF4-FFF2-40B4-BE49-F238E27FC236}">
                  <a16:creationId xmlns:a16="http://schemas.microsoft.com/office/drawing/2014/main" id="{6082F86A-A5FF-4F4B-81AE-87EAD09AE3A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543674" y="5343525"/>
              <a:ext cx="3762375"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76199</xdr:colOff>
      <xdr:row>39</xdr:row>
      <xdr:rowOff>38100</xdr:rowOff>
    </xdr:from>
    <xdr:to>
      <xdr:col>15</xdr:col>
      <xdr:colOff>581024</xdr:colOff>
      <xdr:row>51</xdr:row>
      <xdr:rowOff>171449</xdr:rowOff>
    </xdr:to>
    <mc:AlternateContent xmlns:mc="http://schemas.openxmlformats.org/markup-compatibility/2006" xmlns:a14="http://schemas.microsoft.com/office/drawing/2010/main">
      <mc:Choice Requires="a14">
        <xdr:graphicFrame macro="">
          <xdr:nvGraphicFramePr>
            <xdr:cNvPr id="30" name="Actual amount 1">
              <a:extLst>
                <a:ext uri="{FF2B5EF4-FFF2-40B4-BE49-F238E27FC236}">
                  <a16:creationId xmlns:a16="http://schemas.microsoft.com/office/drawing/2014/main" id="{AF96D7BF-9417-4277-9FF5-C72039EC9718}"/>
                </a:ext>
              </a:extLst>
            </xdr:cNvPr>
            <xdr:cNvGraphicFramePr/>
          </xdr:nvGraphicFramePr>
          <xdr:xfrm>
            <a:off x="0" y="0"/>
            <a:ext cx="0" cy="0"/>
          </xdr:xfrm>
          <a:graphic>
            <a:graphicData uri="http://schemas.microsoft.com/office/drawing/2010/slicer">
              <sle:slicer xmlns:sle="http://schemas.microsoft.com/office/drawing/2010/slicer" name="Actual amount 1"/>
            </a:graphicData>
          </a:graphic>
        </xdr:graphicFrame>
      </mc:Choice>
      <mc:Fallback xmlns="">
        <xdr:sp macro="" textlink="">
          <xdr:nvSpPr>
            <xdr:cNvPr id="0" name=""/>
            <xdr:cNvSpPr>
              <a:spLocks noTextEdit="1"/>
            </xdr:cNvSpPr>
          </xdr:nvSpPr>
          <xdr:spPr>
            <a:xfrm>
              <a:off x="6553199" y="7096126"/>
              <a:ext cx="3743325" cy="2305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n siva kumar Maguluri" refreshedDate="46045.468340856482" createdVersion="8" refreshedVersion="8" minRefreshableVersion="3" recordCount="60" xr:uid="{D9BFBF83-ADE3-435B-BB0E-E4524523AD06}">
  <cacheSource type="worksheet">
    <worksheetSource ref="A1:E61" sheet="Sheet2"/>
  </cacheSource>
  <cacheFields count="5">
    <cacheField name="Date" numFmtId="14">
      <sharedItems containsSemiMixedTypes="0" containsNonDate="0" containsDate="1" containsString="0" minDate="2025-01-05T00:00:00" maxDate="2025-12-27T00:00:00"/>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ount="33">
        <n v="12000"/>
        <n v="4200"/>
        <n v="2800"/>
        <n v="2300"/>
        <n v="2600"/>
        <n v="5100"/>
        <n v="3200"/>
        <n v="1900"/>
        <n v="2400"/>
        <n v="3900"/>
        <n v="1500"/>
        <n v="4500"/>
        <n v="3000"/>
        <n v="2200"/>
        <n v="2500"/>
        <n v="4800"/>
        <n v="2900"/>
        <n v="2100"/>
        <n v="5200"/>
        <n v="3300"/>
        <n v="2700"/>
        <n v="4100"/>
        <n v="1800"/>
        <n v="4700"/>
        <n v="3100"/>
        <n v="4300"/>
        <n v="2000"/>
        <n v="5000"/>
        <n v="3500"/>
        <n v="4600"/>
        <n v="5400"/>
        <n v="3600"/>
        <n v="4000"/>
      </sharedItems>
    </cacheField>
  </cacheFields>
  <extLst>
    <ext xmlns:x14="http://schemas.microsoft.com/office/spreadsheetml/2009/9/main" uri="{725AE2AE-9491-48be-B2B4-4EB974FC3084}">
      <x14:pivotCacheDefinition pivotCacheId="411941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d v="2025-01-05T00:00:00"/>
    <x v="0"/>
    <x v="0"/>
    <x v="0"/>
    <x v="0"/>
  </r>
  <r>
    <d v="2025-01-08T00:00:00"/>
    <x v="0"/>
    <x v="1"/>
    <x v="1"/>
    <x v="1"/>
  </r>
  <r>
    <d v="2025-01-12T00:00:00"/>
    <x v="0"/>
    <x v="2"/>
    <x v="2"/>
    <x v="2"/>
  </r>
  <r>
    <d v="2025-01-18T00:00:00"/>
    <x v="0"/>
    <x v="3"/>
    <x v="3"/>
    <x v="3"/>
  </r>
  <r>
    <d v="2025-01-25T00:00:00"/>
    <x v="0"/>
    <x v="4"/>
    <x v="4"/>
    <x v="4"/>
  </r>
  <r>
    <d v="2025-02-05T00:00:00"/>
    <x v="1"/>
    <x v="0"/>
    <x v="0"/>
    <x v="0"/>
  </r>
  <r>
    <d v="2025-02-09T00:00:00"/>
    <x v="1"/>
    <x v="1"/>
    <x v="1"/>
    <x v="5"/>
  </r>
  <r>
    <d v="2025-02-12T00:00:00"/>
    <x v="1"/>
    <x v="2"/>
    <x v="2"/>
    <x v="6"/>
  </r>
  <r>
    <d v="2025-02-18T00:00:00"/>
    <x v="1"/>
    <x v="3"/>
    <x v="3"/>
    <x v="7"/>
  </r>
  <r>
    <d v="2025-02-24T00:00:00"/>
    <x v="1"/>
    <x v="4"/>
    <x v="5"/>
    <x v="8"/>
  </r>
  <r>
    <d v="2025-03-05T00:00:00"/>
    <x v="2"/>
    <x v="0"/>
    <x v="0"/>
    <x v="0"/>
  </r>
  <r>
    <d v="2025-03-08T00:00:00"/>
    <x v="2"/>
    <x v="1"/>
    <x v="1"/>
    <x v="9"/>
  </r>
  <r>
    <d v="2025-03-14T00:00:00"/>
    <x v="2"/>
    <x v="2"/>
    <x v="6"/>
    <x v="4"/>
  </r>
  <r>
    <d v="2025-03-20T00:00:00"/>
    <x v="2"/>
    <x v="3"/>
    <x v="7"/>
    <x v="10"/>
  </r>
  <r>
    <d v="2025-03-26T00:00:00"/>
    <x v="2"/>
    <x v="4"/>
    <x v="4"/>
    <x v="3"/>
  </r>
  <r>
    <d v="2025-04-05T00:00:00"/>
    <x v="3"/>
    <x v="0"/>
    <x v="0"/>
    <x v="0"/>
  </r>
  <r>
    <d v="2025-04-09T00:00:00"/>
    <x v="3"/>
    <x v="1"/>
    <x v="1"/>
    <x v="11"/>
  </r>
  <r>
    <d v="2025-04-13T00:00:00"/>
    <x v="3"/>
    <x v="2"/>
    <x v="8"/>
    <x v="12"/>
  </r>
  <r>
    <d v="2025-04-19T00:00:00"/>
    <x v="3"/>
    <x v="3"/>
    <x v="3"/>
    <x v="13"/>
  </r>
  <r>
    <d v="2025-04-25T00:00:00"/>
    <x v="3"/>
    <x v="4"/>
    <x v="4"/>
    <x v="14"/>
  </r>
  <r>
    <d v="2025-05-05T00:00:00"/>
    <x v="4"/>
    <x v="0"/>
    <x v="0"/>
    <x v="0"/>
  </r>
  <r>
    <d v="2025-05-08T00:00:00"/>
    <x v="4"/>
    <x v="1"/>
    <x v="1"/>
    <x v="15"/>
  </r>
  <r>
    <d v="2025-05-14T00:00:00"/>
    <x v="4"/>
    <x v="2"/>
    <x v="8"/>
    <x v="16"/>
  </r>
  <r>
    <d v="2025-05-20T00:00:00"/>
    <x v="4"/>
    <x v="3"/>
    <x v="9"/>
    <x v="17"/>
  </r>
  <r>
    <d v="2025-05-26T00:00:00"/>
    <x v="4"/>
    <x v="4"/>
    <x v="4"/>
    <x v="4"/>
  </r>
  <r>
    <d v="2025-06-05T00:00:00"/>
    <x v="5"/>
    <x v="0"/>
    <x v="0"/>
    <x v="0"/>
  </r>
  <r>
    <d v="2025-06-09T00:00:00"/>
    <x v="5"/>
    <x v="1"/>
    <x v="1"/>
    <x v="18"/>
  </r>
  <r>
    <d v="2025-06-13T00:00:00"/>
    <x v="5"/>
    <x v="2"/>
    <x v="8"/>
    <x v="19"/>
  </r>
  <r>
    <d v="2025-06-18T00:00:00"/>
    <x v="5"/>
    <x v="3"/>
    <x v="10"/>
    <x v="2"/>
  </r>
  <r>
    <d v="2025-06-25T00:00:00"/>
    <x v="5"/>
    <x v="4"/>
    <x v="4"/>
    <x v="20"/>
  </r>
  <r>
    <d v="2025-07-05T00:00:00"/>
    <x v="6"/>
    <x v="0"/>
    <x v="0"/>
    <x v="0"/>
  </r>
  <r>
    <d v="2025-07-08T00:00:00"/>
    <x v="6"/>
    <x v="1"/>
    <x v="1"/>
    <x v="21"/>
  </r>
  <r>
    <d v="2025-07-12T00:00:00"/>
    <x v="6"/>
    <x v="2"/>
    <x v="6"/>
    <x v="4"/>
  </r>
  <r>
    <d v="2025-07-19T00:00:00"/>
    <x v="6"/>
    <x v="3"/>
    <x v="3"/>
    <x v="22"/>
  </r>
  <r>
    <d v="2025-07-26T00:00:00"/>
    <x v="6"/>
    <x v="4"/>
    <x v="4"/>
    <x v="8"/>
  </r>
  <r>
    <d v="2025-08-05T00:00:00"/>
    <x v="7"/>
    <x v="0"/>
    <x v="0"/>
    <x v="0"/>
  </r>
  <r>
    <d v="2025-08-09T00:00:00"/>
    <x v="7"/>
    <x v="1"/>
    <x v="1"/>
    <x v="23"/>
  </r>
  <r>
    <d v="2025-08-14T00:00:00"/>
    <x v="7"/>
    <x v="2"/>
    <x v="8"/>
    <x v="24"/>
  </r>
  <r>
    <d v="2025-08-20T00:00:00"/>
    <x v="7"/>
    <x v="3"/>
    <x v="9"/>
    <x v="13"/>
  </r>
  <r>
    <d v="2025-08-26T00:00:00"/>
    <x v="7"/>
    <x v="4"/>
    <x v="4"/>
    <x v="14"/>
  </r>
  <r>
    <d v="2025-09-05T00:00:00"/>
    <x v="8"/>
    <x v="0"/>
    <x v="0"/>
    <x v="0"/>
  </r>
  <r>
    <d v="2025-09-08T00:00:00"/>
    <x v="8"/>
    <x v="1"/>
    <x v="1"/>
    <x v="25"/>
  </r>
  <r>
    <d v="2025-09-13T00:00:00"/>
    <x v="8"/>
    <x v="2"/>
    <x v="6"/>
    <x v="20"/>
  </r>
  <r>
    <d v="2025-09-18T00:00:00"/>
    <x v="8"/>
    <x v="3"/>
    <x v="7"/>
    <x v="26"/>
  </r>
  <r>
    <d v="2025-09-25T00:00:00"/>
    <x v="8"/>
    <x v="4"/>
    <x v="4"/>
    <x v="8"/>
  </r>
  <r>
    <d v="2025-10-05T00:00:00"/>
    <x v="9"/>
    <x v="0"/>
    <x v="0"/>
    <x v="0"/>
  </r>
  <r>
    <d v="2025-10-09T00:00:00"/>
    <x v="9"/>
    <x v="1"/>
    <x v="1"/>
    <x v="27"/>
  </r>
  <r>
    <d v="2025-10-14T00:00:00"/>
    <x v="9"/>
    <x v="2"/>
    <x v="8"/>
    <x v="6"/>
  </r>
  <r>
    <d v="2025-10-20T00:00:00"/>
    <x v="9"/>
    <x v="3"/>
    <x v="11"/>
    <x v="28"/>
  </r>
  <r>
    <d v="2025-10-26T00:00:00"/>
    <x v="9"/>
    <x v="4"/>
    <x v="4"/>
    <x v="2"/>
  </r>
  <r>
    <d v="2025-11-05T00:00:00"/>
    <x v="10"/>
    <x v="0"/>
    <x v="0"/>
    <x v="0"/>
  </r>
  <r>
    <d v="2025-11-08T00:00:00"/>
    <x v="10"/>
    <x v="1"/>
    <x v="1"/>
    <x v="29"/>
  </r>
  <r>
    <d v="2025-11-13T00:00:00"/>
    <x v="10"/>
    <x v="2"/>
    <x v="8"/>
    <x v="12"/>
  </r>
  <r>
    <d v="2025-11-19T00:00:00"/>
    <x v="10"/>
    <x v="3"/>
    <x v="3"/>
    <x v="17"/>
  </r>
  <r>
    <d v="2025-11-25T00:00:00"/>
    <x v="10"/>
    <x v="4"/>
    <x v="4"/>
    <x v="4"/>
  </r>
  <r>
    <d v="2025-12-05T00:00:00"/>
    <x v="11"/>
    <x v="0"/>
    <x v="0"/>
    <x v="0"/>
  </r>
  <r>
    <d v="2025-12-09T00:00:00"/>
    <x v="11"/>
    <x v="1"/>
    <x v="1"/>
    <x v="30"/>
  </r>
  <r>
    <d v="2025-12-14T00:00:00"/>
    <x v="11"/>
    <x v="2"/>
    <x v="12"/>
    <x v="31"/>
  </r>
  <r>
    <d v="2025-12-20T00:00:00"/>
    <x v="11"/>
    <x v="3"/>
    <x v="13"/>
    <x v="32"/>
  </r>
  <r>
    <d v="2025-12-26T00:00:00"/>
    <x v="11"/>
    <x v="4"/>
    <x v="4"/>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6CFFAB-673C-4B62-942E-AC9F7C8114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3:J9" firstHeaderRow="1" firstDataRow="1" firstDataCol="1"/>
  <pivotFields count="5">
    <pivotField numFmtId="14" showAll="0"/>
    <pivotField showAll="0"/>
    <pivotField axis="axisRow" showAll="0">
      <items count="6">
        <item x="3"/>
        <item x="1"/>
        <item x="0"/>
        <item x="2"/>
        <item x="4"/>
        <item t="default"/>
      </items>
    </pivotField>
    <pivotField showAll="0">
      <items count="15">
        <item x="6"/>
        <item x="2"/>
        <item x="4"/>
        <item x="11"/>
        <item x="8"/>
        <item x="1"/>
        <item x="0"/>
        <item x="3"/>
        <item x="7"/>
        <item x="9"/>
        <item x="12"/>
        <item x="10"/>
        <item x="5"/>
        <item x="13"/>
        <item t="default"/>
      </items>
    </pivotField>
    <pivotField dataField="1" showAll="0">
      <items count="34">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t="default"/>
      </items>
    </pivotField>
  </pivotFields>
  <rowFields count="1">
    <field x="2"/>
  </rowFields>
  <rowItems count="6">
    <i>
      <x/>
    </i>
    <i>
      <x v="1"/>
    </i>
    <i>
      <x v="2"/>
    </i>
    <i>
      <x v="3"/>
    </i>
    <i>
      <x v="4"/>
    </i>
    <i t="grand">
      <x/>
    </i>
  </rowItems>
  <colItems count="1">
    <i/>
  </colItems>
  <dataFields count="1">
    <dataField name="Sum of Actual amount" fld="4" baseField="0" baseItem="0"/>
  </dataFields>
  <chartFormats count="1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1"/>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4"/>
          </reference>
        </references>
      </pivotArea>
    </chartFormat>
    <chartFormat chart="6" format="4">
      <pivotArea type="data" outline="0" fieldPosition="0">
        <references count="2">
          <reference field="4294967294" count="1" selected="0">
            <x v="0"/>
          </reference>
          <reference field="2" count="1" selected="0">
            <x v="2"/>
          </reference>
        </references>
      </pivotArea>
    </chartFormat>
    <chartFormat chart="6" format="5">
      <pivotArea type="data" outline="0" fieldPosition="0">
        <references count="2">
          <reference field="4294967294" count="1" selected="0">
            <x v="0"/>
          </reference>
          <reference field="2" count="1" selected="0">
            <x v="3"/>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3"/>
          </reference>
        </references>
      </pivotArea>
    </chartFormat>
    <chartFormat chart="10" format="2">
      <pivotArea type="data" outline="0" fieldPosition="0">
        <references count="2">
          <reference field="4294967294" count="1" selected="0">
            <x v="0"/>
          </reference>
          <reference field="2" count="1" selected="0">
            <x v="4"/>
          </reference>
        </references>
      </pivotArea>
    </chartFormat>
    <chartFormat chart="10" format="3">
      <pivotArea type="data" outline="0" fieldPosition="0">
        <references count="2">
          <reference field="4294967294" count="1" selected="0">
            <x v="0"/>
          </reference>
          <reference field="2" count="1" selected="0">
            <x v="0"/>
          </reference>
        </references>
      </pivotArea>
    </chartFormat>
    <chartFormat chart="10" format="4">
      <pivotArea type="data" outline="0" fieldPosition="0">
        <references count="2">
          <reference field="4294967294" count="1" selected="0">
            <x v="0"/>
          </reference>
          <reference field="2" count="1" selected="0">
            <x v="1"/>
          </reference>
        </references>
      </pivotArea>
    </chartFormat>
    <chartFormat chart="10" format="5">
      <pivotArea type="data" outline="0" fieldPosition="0">
        <references count="2">
          <reference field="4294967294" count="1" selected="0">
            <x v="0"/>
          </reference>
          <reference field="2" count="1" selected="0">
            <x v="2"/>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2" count="1" selected="0">
            <x v="0"/>
          </reference>
        </references>
      </pivotArea>
    </chartFormat>
    <chartFormat chart="18" format="14">
      <pivotArea type="data" outline="0" fieldPosition="0">
        <references count="2">
          <reference field="4294967294" count="1" selected="0">
            <x v="0"/>
          </reference>
          <reference field="2" count="1" selected="0">
            <x v="1"/>
          </reference>
        </references>
      </pivotArea>
    </chartFormat>
    <chartFormat chart="18" format="15">
      <pivotArea type="data" outline="0" fieldPosition="0">
        <references count="2">
          <reference field="4294967294" count="1" selected="0">
            <x v="0"/>
          </reference>
          <reference field="2" count="1" selected="0">
            <x v="2"/>
          </reference>
        </references>
      </pivotArea>
    </chartFormat>
    <chartFormat chart="18" format="16">
      <pivotArea type="data" outline="0" fieldPosition="0">
        <references count="2">
          <reference field="4294967294" count="1" selected="0">
            <x v="0"/>
          </reference>
          <reference field="2" count="1" selected="0">
            <x v="3"/>
          </reference>
        </references>
      </pivotArea>
    </chartFormat>
    <chartFormat chart="18"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CD242A-8BE6-4DB0-A39D-A9D5B4E298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16" firstHeaderRow="1" firstDataRow="1" firstDataCol="1"/>
  <pivotFields count="5">
    <pivotField numFmtId="14" showAll="0"/>
    <pivotField axis="axisRow" showAll="0">
      <items count="13">
        <item x="0"/>
        <item x="1"/>
        <item x="2"/>
        <item x="3"/>
        <item x="4"/>
        <item x="5"/>
        <item x="6"/>
        <item x="7"/>
        <item x="8"/>
        <item x="9"/>
        <item x="10"/>
        <item x="11"/>
        <item t="default"/>
      </items>
    </pivotField>
    <pivotField showAll="0"/>
    <pivotField showAll="0">
      <items count="15">
        <item x="6"/>
        <item x="2"/>
        <item x="4"/>
        <item x="11"/>
        <item x="8"/>
        <item x="1"/>
        <item x="0"/>
        <item x="3"/>
        <item x="7"/>
        <item x="9"/>
        <item x="12"/>
        <item x="10"/>
        <item x="5"/>
        <item x="13"/>
        <item t="default"/>
      </items>
    </pivotField>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Sum of Actual amount" fld="4"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725C8D-8AD6-4A21-A64D-322A28CEC2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8" firstHeaderRow="1" firstDataRow="1" firstDataCol="1"/>
  <pivotFields count="5">
    <pivotField numFmtId="14" showAll="0"/>
    <pivotField showAll="0"/>
    <pivotField showAll="0"/>
    <pivotField axis="axisRow" showAll="0">
      <items count="15">
        <item x="6"/>
        <item x="2"/>
        <item x="4"/>
        <item x="11"/>
        <item x="8"/>
        <item x="1"/>
        <item x="0"/>
        <item x="3"/>
        <item x="7"/>
        <item x="9"/>
        <item x="12"/>
        <item x="10"/>
        <item x="5"/>
        <item x="13"/>
        <item t="default"/>
      </items>
    </pivotField>
    <pivotField dataField="1" showAll="0"/>
  </pivotFields>
  <rowFields count="1">
    <field x="3"/>
  </rowFields>
  <rowItems count="15">
    <i>
      <x/>
    </i>
    <i>
      <x v="1"/>
    </i>
    <i>
      <x v="2"/>
    </i>
    <i>
      <x v="3"/>
    </i>
    <i>
      <x v="4"/>
    </i>
    <i>
      <x v="5"/>
    </i>
    <i>
      <x v="6"/>
    </i>
    <i>
      <x v="7"/>
    </i>
    <i>
      <x v="8"/>
    </i>
    <i>
      <x v="9"/>
    </i>
    <i>
      <x v="10"/>
    </i>
    <i>
      <x v="11"/>
    </i>
    <i>
      <x v="12"/>
    </i>
    <i>
      <x v="13"/>
    </i>
    <i t="grand">
      <x/>
    </i>
  </rowItems>
  <colItems count="1">
    <i/>
  </colItems>
  <dataFields count="1">
    <dataField name="Sum of Actual amount" fld="4" baseField="0" baseItem="0"/>
  </dataField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072D35-C79B-47A5-A1DE-E95F19620320}" sourceName="Category">
  <pivotTables>
    <pivotTable tabId="3" name="PivotTable3"/>
  </pivotTables>
  <data>
    <tabular pivotCacheId="411941256">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ual_amount" xr10:uid="{E783679D-E5D6-4C63-9C35-D1B7173CE70C}" sourceName="Actual amount">
  <pivotTables>
    <pivotTable tabId="3" name="PivotTable3"/>
  </pivotTables>
  <data>
    <tabular pivotCacheId="411941256">
      <items count="33">
        <i x="10" s="1"/>
        <i x="22" s="1"/>
        <i x="7" s="1"/>
        <i x="26" s="1"/>
        <i x="17" s="1"/>
        <i x="13" s="1"/>
        <i x="3" s="1"/>
        <i x="8" s="1"/>
        <i x="14" s="1"/>
        <i x="4" s="1"/>
        <i x="20" s="1"/>
        <i x="2" s="1"/>
        <i x="16" s="1"/>
        <i x="12" s="1"/>
        <i x="24" s="1"/>
        <i x="6" s="1"/>
        <i x="19" s="1"/>
        <i x="28" s="1"/>
        <i x="31" s="1"/>
        <i x="9" s="1"/>
        <i x="32" s="1"/>
        <i x="21" s="1"/>
        <i x="1" s="1"/>
        <i x="25" s="1"/>
        <i x="11" s="1"/>
        <i x="29" s="1"/>
        <i x="23" s="1"/>
        <i x="15" s="1"/>
        <i x="27" s="1"/>
        <i x="5" s="1"/>
        <i x="18" s="1"/>
        <i x="30"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FFC3B37-C1E3-4CD9-90D9-322C82295B43}" cache="Slicer_Category" caption="Category" rowHeight="249238"/>
  <slicer name="Actual amount" xr10:uid="{532A8804-8FC3-4A53-A52E-7F4B71ECDAB8}" cache="Slicer_Actual_amount" caption="Actual amount" startItem="25"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BF500BB-D269-4E5C-A13C-AD75970CC8AD}" cache="Slicer_Category" caption="Category" rowHeight="249238"/>
  <slicer name="Actual amount 1" xr10:uid="{4E9736E3-015D-41C6-9457-DD4D07E9DD58}" cache="Slicer_Actual_amount" caption="Actual amount"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 /><Relationship Id="rId2" Type="http://schemas.openxmlformats.org/officeDocument/2006/relationships/pivotTable" Target="../pivotTables/pivotTable2.xml" /><Relationship Id="rId1" Type="http://schemas.openxmlformats.org/officeDocument/2006/relationships/pivotTable" Target="../pivotTables/pivotTable1.xml" /><Relationship Id="rId5" Type="http://schemas.microsoft.com/office/2007/relationships/slicer" Target="../slicers/slicer1.xml" /><Relationship Id="rId4"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2" Type="http://schemas.microsoft.com/office/2007/relationships/slicer" Target="../slicers/slicer2.xml" /><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9AB1D-44FD-46F0-88D1-02EDF71524BE}">
  <dimension ref="A3:J18"/>
  <sheetViews>
    <sheetView workbookViewId="0">
      <selection activeCell="I3" sqref="I3:J9"/>
    </sheetView>
  </sheetViews>
  <sheetFormatPr defaultRowHeight="15" x14ac:dyDescent="0.2"/>
  <cols>
    <col min="1" max="1" width="14.52734375" bestFit="1" customWidth="1"/>
    <col min="2" max="2" width="18.16015625" bestFit="1" customWidth="1"/>
    <col min="4" max="4" width="11.97265625" bestFit="1" customWidth="1"/>
    <col min="5" max="5" width="18.16015625" bestFit="1" customWidth="1"/>
    <col min="6" max="6" width="4.9765625" customWidth="1"/>
    <col min="7" max="7" width="9.01171875" hidden="1" customWidth="1"/>
    <col min="9" max="9" width="11.97265625" bestFit="1" customWidth="1"/>
    <col min="10" max="10" width="18.16015625" bestFit="1" customWidth="1"/>
  </cols>
  <sheetData>
    <row r="3" spans="1:10" x14ac:dyDescent="0.2">
      <c r="A3" s="1" t="s">
        <v>42</v>
      </c>
      <c r="B3" t="s">
        <v>44</v>
      </c>
      <c r="D3" s="1" t="s">
        <v>42</v>
      </c>
      <c r="E3" t="s">
        <v>44</v>
      </c>
      <c r="I3" s="1" t="s">
        <v>42</v>
      </c>
      <c r="J3" t="s">
        <v>44</v>
      </c>
    </row>
    <row r="4" spans="1:10" x14ac:dyDescent="0.2">
      <c r="A4" s="2" t="s">
        <v>22</v>
      </c>
      <c r="B4" s="3">
        <v>7900</v>
      </c>
      <c r="D4" s="2" t="s">
        <v>5</v>
      </c>
      <c r="E4" s="3">
        <v>23900</v>
      </c>
      <c r="I4" s="2" t="s">
        <v>13</v>
      </c>
      <c r="J4" s="3">
        <v>28400</v>
      </c>
    </row>
    <row r="5" spans="1:10" x14ac:dyDescent="0.2">
      <c r="A5" s="2" t="s">
        <v>11</v>
      </c>
      <c r="B5" s="3">
        <v>6000</v>
      </c>
      <c r="D5" s="2" t="s">
        <v>17</v>
      </c>
      <c r="E5" s="3">
        <v>24600</v>
      </c>
      <c r="I5" s="2" t="s">
        <v>8</v>
      </c>
      <c r="J5" s="3">
        <v>55800</v>
      </c>
    </row>
    <row r="6" spans="1:10" x14ac:dyDescent="0.2">
      <c r="A6" s="2" t="s">
        <v>16</v>
      </c>
      <c r="B6" s="3">
        <v>28400</v>
      </c>
      <c r="D6" s="2" t="s">
        <v>20</v>
      </c>
      <c r="E6" s="3">
        <v>22300</v>
      </c>
      <c r="I6" s="2" t="s">
        <v>6</v>
      </c>
      <c r="J6" s="3">
        <v>144000</v>
      </c>
    </row>
    <row r="7" spans="1:10" x14ac:dyDescent="0.2">
      <c r="A7" s="2" t="s">
        <v>37</v>
      </c>
      <c r="B7" s="3">
        <v>3500</v>
      </c>
      <c r="D7" s="2" t="s">
        <v>24</v>
      </c>
      <c r="E7" s="3">
        <v>24200</v>
      </c>
      <c r="I7" s="2" t="s">
        <v>10</v>
      </c>
      <c r="J7" s="3">
        <v>36000</v>
      </c>
    </row>
    <row r="8" spans="1:10" x14ac:dyDescent="0.2">
      <c r="A8" s="2" t="s">
        <v>26</v>
      </c>
      <c r="B8" s="3">
        <v>18500</v>
      </c>
      <c r="D8" s="2" t="s">
        <v>28</v>
      </c>
      <c r="E8" s="3">
        <v>24400</v>
      </c>
      <c r="I8" s="2" t="s">
        <v>15</v>
      </c>
      <c r="J8" s="3">
        <v>30800</v>
      </c>
    </row>
    <row r="9" spans="1:10" x14ac:dyDescent="0.2">
      <c r="A9" s="2" t="s">
        <v>9</v>
      </c>
      <c r="B9" s="3">
        <v>55800</v>
      </c>
      <c r="D9" s="2" t="s">
        <v>30</v>
      </c>
      <c r="E9" s="3">
        <v>26000</v>
      </c>
      <c r="I9" s="2" t="s">
        <v>43</v>
      </c>
      <c r="J9" s="3">
        <v>295000</v>
      </c>
    </row>
    <row r="10" spans="1:10" x14ac:dyDescent="0.2">
      <c r="A10" s="2" t="s">
        <v>7</v>
      </c>
      <c r="B10" s="3">
        <v>144000</v>
      </c>
      <c r="D10" s="2" t="s">
        <v>33</v>
      </c>
      <c r="E10" s="3">
        <v>22900</v>
      </c>
    </row>
    <row r="11" spans="1:10" x14ac:dyDescent="0.2">
      <c r="A11" s="2" t="s">
        <v>14</v>
      </c>
      <c r="B11" s="3">
        <v>10300</v>
      </c>
      <c r="D11" s="2" t="s">
        <v>34</v>
      </c>
      <c r="E11" s="3">
        <v>24500</v>
      </c>
    </row>
    <row r="12" spans="1:10" x14ac:dyDescent="0.2">
      <c r="A12" s="2" t="s">
        <v>23</v>
      </c>
      <c r="B12" s="3">
        <v>3500</v>
      </c>
      <c r="D12" s="2" t="s">
        <v>35</v>
      </c>
      <c r="E12" s="3">
        <v>23400</v>
      </c>
    </row>
    <row r="13" spans="1:10" x14ac:dyDescent="0.2">
      <c r="A13" s="2" t="s">
        <v>29</v>
      </c>
      <c r="B13" s="3">
        <v>4300</v>
      </c>
      <c r="D13" s="2" t="s">
        <v>36</v>
      </c>
      <c r="E13" s="3">
        <v>26500</v>
      </c>
    </row>
    <row r="14" spans="1:10" x14ac:dyDescent="0.2">
      <c r="A14" s="2" t="s">
        <v>40</v>
      </c>
      <c r="B14" s="3">
        <v>3600</v>
      </c>
      <c r="D14" s="2" t="s">
        <v>38</v>
      </c>
      <c r="E14" s="3">
        <v>24300</v>
      </c>
    </row>
    <row r="15" spans="1:10" x14ac:dyDescent="0.2">
      <c r="A15" s="2" t="s">
        <v>32</v>
      </c>
      <c r="B15" s="3">
        <v>2800</v>
      </c>
      <c r="D15" s="2" t="s">
        <v>39</v>
      </c>
      <c r="E15" s="3">
        <v>28000</v>
      </c>
    </row>
    <row r="16" spans="1:10" x14ac:dyDescent="0.2">
      <c r="A16" s="2" t="s">
        <v>19</v>
      </c>
      <c r="B16" s="3">
        <v>2400</v>
      </c>
      <c r="D16" s="2" t="s">
        <v>43</v>
      </c>
      <c r="E16" s="3">
        <v>295000</v>
      </c>
    </row>
    <row r="17" spans="1:2" x14ac:dyDescent="0.2">
      <c r="A17" s="2" t="s">
        <v>41</v>
      </c>
      <c r="B17" s="3">
        <v>4000</v>
      </c>
    </row>
    <row r="18" spans="1:2" x14ac:dyDescent="0.2">
      <c r="A18" s="2" t="s">
        <v>43</v>
      </c>
      <c r="B18" s="3">
        <v>295000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147C5-98EC-430F-9634-A5B8654D4EFA}">
  <dimension ref="A1"/>
  <sheetViews>
    <sheetView tabSelected="1" zoomScale="50" workbookViewId="0">
      <selection activeCell="K78" sqref="K78"/>
    </sheetView>
  </sheetViews>
  <sheetFormatPr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E49D4-1F70-4AC5-8684-9444663979DC}">
  <dimension ref="A1:H61"/>
  <sheetViews>
    <sheetView topLeftCell="A16" workbookViewId="0"/>
  </sheetViews>
  <sheetFormatPr defaultRowHeight="15" x14ac:dyDescent="0.2"/>
  <cols>
    <col min="1" max="1" width="12.5078125" customWidth="1"/>
    <col min="5" max="5" width="13.98828125" customWidth="1"/>
    <col min="8" max="8" width="31.20703125" customWidth="1"/>
  </cols>
  <sheetData>
    <row r="1" spans="1:8" ht="16.5" x14ac:dyDescent="0.25">
      <c r="A1" s="6" t="s">
        <v>0</v>
      </c>
      <c r="B1" s="7" t="s">
        <v>1</v>
      </c>
      <c r="C1" s="7" t="s">
        <v>2</v>
      </c>
      <c r="D1" s="7" t="s">
        <v>3</v>
      </c>
      <c r="E1" s="7" t="s">
        <v>4</v>
      </c>
      <c r="H1" s="5"/>
    </row>
    <row r="2" spans="1:8" x14ac:dyDescent="0.2">
      <c r="A2" s="4">
        <v>45662</v>
      </c>
      <c r="B2" s="4" t="s">
        <v>5</v>
      </c>
      <c r="C2" s="4" t="s">
        <v>6</v>
      </c>
      <c r="D2" s="4" t="s">
        <v>7</v>
      </c>
      <c r="E2" s="4">
        <v>12000</v>
      </c>
    </row>
    <row r="3" spans="1:8" x14ac:dyDescent="0.2">
      <c r="A3" s="8">
        <v>45665</v>
      </c>
      <c r="B3" s="8" t="s">
        <v>5</v>
      </c>
      <c r="C3" s="8" t="s">
        <v>8</v>
      </c>
      <c r="D3" s="8" t="s">
        <v>9</v>
      </c>
      <c r="E3" s="8">
        <v>4200</v>
      </c>
    </row>
    <row r="4" spans="1:8" x14ac:dyDescent="0.2">
      <c r="A4" s="4">
        <v>45669</v>
      </c>
      <c r="B4" s="4" t="s">
        <v>5</v>
      </c>
      <c r="C4" s="4" t="s">
        <v>10</v>
      </c>
      <c r="D4" s="4" t="s">
        <v>11</v>
      </c>
      <c r="E4" s="4">
        <v>2800</v>
      </c>
    </row>
    <row r="5" spans="1:8" x14ac:dyDescent="0.2">
      <c r="A5" s="8">
        <v>45675</v>
      </c>
      <c r="B5" s="8" t="s">
        <v>5</v>
      </c>
      <c r="C5" s="8" t="s">
        <v>13</v>
      </c>
      <c r="D5" s="8" t="s">
        <v>14</v>
      </c>
      <c r="E5" s="8">
        <v>2300</v>
      </c>
      <c r="H5" s="10" t="s">
        <v>12</v>
      </c>
    </row>
    <row r="6" spans="1:8" x14ac:dyDescent="0.2">
      <c r="A6" s="4">
        <v>45682</v>
      </c>
      <c r="B6" s="4" t="s">
        <v>5</v>
      </c>
      <c r="C6" s="4" t="s">
        <v>15</v>
      </c>
      <c r="D6" s="4" t="s">
        <v>16</v>
      </c>
      <c r="E6" s="4">
        <v>2600</v>
      </c>
      <c r="H6" s="11">
        <f>SUM(E3:E62)</f>
        <v>283000</v>
      </c>
    </row>
    <row r="7" spans="1:8" x14ac:dyDescent="0.2">
      <c r="A7" s="8">
        <v>45693</v>
      </c>
      <c r="B7" s="8" t="s">
        <v>17</v>
      </c>
      <c r="C7" s="8" t="s">
        <v>6</v>
      </c>
      <c r="D7" s="8" t="s">
        <v>7</v>
      </c>
      <c r="E7" s="8">
        <v>12000</v>
      </c>
      <c r="H7" s="5"/>
    </row>
    <row r="8" spans="1:8" x14ac:dyDescent="0.2">
      <c r="A8" s="4">
        <v>45697</v>
      </c>
      <c r="B8" s="4" t="s">
        <v>17</v>
      </c>
      <c r="C8" s="4" t="s">
        <v>8</v>
      </c>
      <c r="D8" s="4" t="s">
        <v>9</v>
      </c>
      <c r="E8" s="4">
        <v>5100</v>
      </c>
      <c r="H8" s="5"/>
    </row>
    <row r="9" spans="1:8" x14ac:dyDescent="0.2">
      <c r="A9" s="8">
        <v>45700</v>
      </c>
      <c r="B9" s="8" t="s">
        <v>17</v>
      </c>
      <c r="C9" s="8" t="s">
        <v>10</v>
      </c>
      <c r="D9" s="8" t="s">
        <v>11</v>
      </c>
      <c r="E9" s="8">
        <v>3200</v>
      </c>
      <c r="H9" s="5"/>
    </row>
    <row r="10" spans="1:8" x14ac:dyDescent="0.2">
      <c r="A10" s="4">
        <v>45706</v>
      </c>
      <c r="B10" s="4" t="s">
        <v>17</v>
      </c>
      <c r="C10" s="4" t="s">
        <v>13</v>
      </c>
      <c r="D10" s="4" t="s">
        <v>14</v>
      </c>
      <c r="E10" s="4">
        <v>1900</v>
      </c>
      <c r="H10" s="7" t="s">
        <v>18</v>
      </c>
    </row>
    <row r="11" spans="1:8" x14ac:dyDescent="0.2">
      <c r="A11" s="8">
        <v>45712</v>
      </c>
      <c r="B11" s="8" t="s">
        <v>17</v>
      </c>
      <c r="C11" s="8" t="s">
        <v>15</v>
      </c>
      <c r="D11" s="8" t="s">
        <v>19</v>
      </c>
      <c r="E11" s="8">
        <v>2400</v>
      </c>
      <c r="H11" s="11">
        <f>SUMIF(C:C,"food",E:E)</f>
        <v>55800</v>
      </c>
    </row>
    <row r="12" spans="1:8" x14ac:dyDescent="0.2">
      <c r="A12" s="4">
        <v>45721</v>
      </c>
      <c r="B12" s="4" t="s">
        <v>20</v>
      </c>
      <c r="C12" s="4" t="s">
        <v>6</v>
      </c>
      <c r="D12" s="4" t="s">
        <v>7</v>
      </c>
      <c r="E12" s="4">
        <v>12000</v>
      </c>
      <c r="H12" s="5"/>
    </row>
    <row r="13" spans="1:8" x14ac:dyDescent="0.2">
      <c r="A13" s="8">
        <v>45724</v>
      </c>
      <c r="B13" s="8" t="s">
        <v>20</v>
      </c>
      <c r="C13" s="8" t="s">
        <v>8</v>
      </c>
      <c r="D13" s="8" t="s">
        <v>9</v>
      </c>
      <c r="E13" s="8">
        <v>3900</v>
      </c>
      <c r="H13" s="5"/>
    </row>
    <row r="14" spans="1:8" x14ac:dyDescent="0.2">
      <c r="A14" s="4">
        <v>45730</v>
      </c>
      <c r="B14" s="4" t="s">
        <v>20</v>
      </c>
      <c r="C14" s="4" t="s">
        <v>10</v>
      </c>
      <c r="D14" s="4" t="s">
        <v>22</v>
      </c>
      <c r="E14" s="4">
        <v>2600</v>
      </c>
      <c r="H14" s="7" t="s">
        <v>21</v>
      </c>
    </row>
    <row r="15" spans="1:8" x14ac:dyDescent="0.2">
      <c r="A15" s="8">
        <v>45736</v>
      </c>
      <c r="B15" s="8" t="s">
        <v>20</v>
      </c>
      <c r="C15" s="8" t="s">
        <v>13</v>
      </c>
      <c r="D15" s="8" t="s">
        <v>23</v>
      </c>
      <c r="E15" s="8">
        <v>1500</v>
      </c>
      <c r="H15" s="11">
        <f>AVERAGE(E3:E62)</f>
        <v>4796.6101694915251</v>
      </c>
    </row>
    <row r="16" spans="1:8" x14ac:dyDescent="0.2">
      <c r="A16" s="4">
        <v>45742</v>
      </c>
      <c r="B16" s="4" t="s">
        <v>20</v>
      </c>
      <c r="C16" s="4" t="s">
        <v>15</v>
      </c>
      <c r="D16" s="4" t="s">
        <v>16</v>
      </c>
      <c r="E16" s="4">
        <v>2300</v>
      </c>
      <c r="H16" s="5"/>
    </row>
    <row r="17" spans="1:8" x14ac:dyDescent="0.2">
      <c r="A17" s="8">
        <v>45752</v>
      </c>
      <c r="B17" s="8" t="s">
        <v>24</v>
      </c>
      <c r="C17" s="8" t="s">
        <v>6</v>
      </c>
      <c r="D17" s="8" t="s">
        <v>7</v>
      </c>
      <c r="E17" s="8">
        <v>12000</v>
      </c>
      <c r="H17" s="5"/>
    </row>
    <row r="18" spans="1:8" x14ac:dyDescent="0.2">
      <c r="A18" s="4">
        <v>45756</v>
      </c>
      <c r="B18" s="4" t="s">
        <v>24</v>
      </c>
      <c r="C18" s="4" t="s">
        <v>8</v>
      </c>
      <c r="D18" s="4" t="s">
        <v>9</v>
      </c>
      <c r="E18" s="4">
        <v>4500</v>
      </c>
      <c r="H18" s="12" t="s">
        <v>25</v>
      </c>
    </row>
    <row r="19" spans="1:8" x14ac:dyDescent="0.2">
      <c r="A19" s="8">
        <v>45760</v>
      </c>
      <c r="B19" s="8" t="s">
        <v>24</v>
      </c>
      <c r="C19" s="8" t="s">
        <v>10</v>
      </c>
      <c r="D19" s="8" t="s">
        <v>26</v>
      </c>
      <c r="E19" s="8">
        <v>3000</v>
      </c>
      <c r="H19" s="11">
        <f>SUMIF(B:B,"January",E:E)</f>
        <v>23900</v>
      </c>
    </row>
    <row r="20" spans="1:8" x14ac:dyDescent="0.2">
      <c r="A20" s="4">
        <v>45766</v>
      </c>
      <c r="B20" s="4" t="s">
        <v>24</v>
      </c>
      <c r="C20" s="4" t="s">
        <v>13</v>
      </c>
      <c r="D20" s="4" t="s">
        <v>14</v>
      </c>
      <c r="E20" s="4">
        <v>2200</v>
      </c>
      <c r="H20" s="5"/>
    </row>
    <row r="21" spans="1:8" x14ac:dyDescent="0.2">
      <c r="A21" s="8">
        <v>45772</v>
      </c>
      <c r="B21" s="8" t="s">
        <v>24</v>
      </c>
      <c r="C21" s="8" t="s">
        <v>15</v>
      </c>
      <c r="D21" s="8" t="s">
        <v>16</v>
      </c>
      <c r="E21" s="8">
        <v>2500</v>
      </c>
      <c r="H21" s="5"/>
    </row>
    <row r="22" spans="1:8" x14ac:dyDescent="0.2">
      <c r="A22" s="4">
        <v>45782</v>
      </c>
      <c r="B22" s="4" t="s">
        <v>28</v>
      </c>
      <c r="C22" s="4" t="s">
        <v>6</v>
      </c>
      <c r="D22" s="4" t="s">
        <v>7</v>
      </c>
      <c r="E22" s="4">
        <v>12000</v>
      </c>
      <c r="H22" s="12" t="s">
        <v>27</v>
      </c>
    </row>
    <row r="23" spans="1:8" x14ac:dyDescent="0.2">
      <c r="A23" s="8">
        <v>45785</v>
      </c>
      <c r="B23" s="8" t="s">
        <v>28</v>
      </c>
      <c r="C23" s="8" t="s">
        <v>8</v>
      </c>
      <c r="D23" s="8" t="s">
        <v>9</v>
      </c>
      <c r="E23" s="8">
        <v>4800</v>
      </c>
      <c r="H23" s="11">
        <f>SUMIFS(E:E,B:B,"January",C:C,"Food")</f>
        <v>4200</v>
      </c>
    </row>
    <row r="24" spans="1:8" x14ac:dyDescent="0.2">
      <c r="A24" s="4">
        <v>45791</v>
      </c>
      <c r="B24" s="4" t="s">
        <v>28</v>
      </c>
      <c r="C24" s="4" t="s">
        <v>10</v>
      </c>
      <c r="D24" s="4" t="s">
        <v>26</v>
      </c>
      <c r="E24" s="4">
        <v>2900</v>
      </c>
      <c r="H24" s="5"/>
    </row>
    <row r="25" spans="1:8" x14ac:dyDescent="0.2">
      <c r="A25" s="8">
        <v>45797</v>
      </c>
      <c r="B25" s="8" t="s">
        <v>28</v>
      </c>
      <c r="C25" s="8" t="s">
        <v>13</v>
      </c>
      <c r="D25" s="8" t="s">
        <v>29</v>
      </c>
      <c r="E25" s="8">
        <v>2100</v>
      </c>
      <c r="H25" s="5"/>
    </row>
    <row r="26" spans="1:8" x14ac:dyDescent="0.2">
      <c r="A26" s="4">
        <v>45803</v>
      </c>
      <c r="B26" s="4" t="s">
        <v>28</v>
      </c>
      <c r="C26" s="4" t="s">
        <v>15</v>
      </c>
      <c r="D26" s="4" t="s">
        <v>16</v>
      </c>
      <c r="E26" s="4">
        <v>2600</v>
      </c>
      <c r="H26" s="5"/>
    </row>
    <row r="27" spans="1:8" x14ac:dyDescent="0.2">
      <c r="A27" s="8">
        <v>45813</v>
      </c>
      <c r="B27" s="8" t="s">
        <v>30</v>
      </c>
      <c r="C27" s="8" t="s">
        <v>6</v>
      </c>
      <c r="D27" s="8" t="s">
        <v>7</v>
      </c>
      <c r="E27" s="8">
        <v>12000</v>
      </c>
      <c r="H27" s="5"/>
    </row>
    <row r="28" spans="1:8" x14ac:dyDescent="0.2">
      <c r="A28" s="4">
        <v>45817</v>
      </c>
      <c r="B28" s="4" t="s">
        <v>30</v>
      </c>
      <c r="C28" s="4" t="s">
        <v>8</v>
      </c>
      <c r="D28" s="4" t="s">
        <v>9</v>
      </c>
      <c r="E28" s="4">
        <v>5200</v>
      </c>
      <c r="H28" s="12" t="s">
        <v>31</v>
      </c>
    </row>
    <row r="29" spans="1:8" x14ac:dyDescent="0.2">
      <c r="A29" s="8">
        <v>45821</v>
      </c>
      <c r="B29" s="8" t="s">
        <v>30</v>
      </c>
      <c r="C29" s="8" t="s">
        <v>10</v>
      </c>
      <c r="D29" s="8" t="s">
        <v>26</v>
      </c>
      <c r="E29" s="8">
        <v>3300</v>
      </c>
      <c r="H29" s="11">
        <f>AVERAGEIF(B:B,"January",E:E)</f>
        <v>4780</v>
      </c>
    </row>
    <row r="30" spans="1:8" x14ac:dyDescent="0.2">
      <c r="A30" s="4">
        <v>45826</v>
      </c>
      <c r="B30" s="4" t="s">
        <v>30</v>
      </c>
      <c r="C30" s="4" t="s">
        <v>13</v>
      </c>
      <c r="D30" s="4" t="s">
        <v>32</v>
      </c>
      <c r="E30" s="4">
        <v>2800</v>
      </c>
    </row>
    <row r="31" spans="1:8" x14ac:dyDescent="0.2">
      <c r="A31" s="8">
        <v>45833</v>
      </c>
      <c r="B31" s="8" t="s">
        <v>30</v>
      </c>
      <c r="C31" s="8" t="s">
        <v>15</v>
      </c>
      <c r="D31" s="8" t="s">
        <v>16</v>
      </c>
      <c r="E31" s="8">
        <v>2700</v>
      </c>
    </row>
    <row r="32" spans="1:8" x14ac:dyDescent="0.2">
      <c r="A32" s="4">
        <v>45843</v>
      </c>
      <c r="B32" s="4" t="s">
        <v>33</v>
      </c>
      <c r="C32" s="4" t="s">
        <v>6</v>
      </c>
      <c r="D32" s="4" t="s">
        <v>7</v>
      </c>
      <c r="E32" s="4">
        <v>12000</v>
      </c>
    </row>
    <row r="33" spans="1:5" x14ac:dyDescent="0.2">
      <c r="A33" s="8">
        <v>45846</v>
      </c>
      <c r="B33" s="8" t="s">
        <v>33</v>
      </c>
      <c r="C33" s="8" t="s">
        <v>8</v>
      </c>
      <c r="D33" s="8" t="s">
        <v>9</v>
      </c>
      <c r="E33" s="8">
        <v>4100</v>
      </c>
    </row>
    <row r="34" spans="1:5" x14ac:dyDescent="0.2">
      <c r="A34" s="4">
        <v>45850</v>
      </c>
      <c r="B34" s="4" t="s">
        <v>33</v>
      </c>
      <c r="C34" s="4" t="s">
        <v>10</v>
      </c>
      <c r="D34" s="4" t="s">
        <v>22</v>
      </c>
      <c r="E34" s="4">
        <v>2600</v>
      </c>
    </row>
    <row r="35" spans="1:5" x14ac:dyDescent="0.2">
      <c r="A35" s="8">
        <v>45857</v>
      </c>
      <c r="B35" s="8" t="s">
        <v>33</v>
      </c>
      <c r="C35" s="8" t="s">
        <v>13</v>
      </c>
      <c r="D35" s="8" t="s">
        <v>14</v>
      </c>
      <c r="E35" s="8">
        <v>1800</v>
      </c>
    </row>
    <row r="36" spans="1:5" x14ac:dyDescent="0.2">
      <c r="A36" s="4">
        <v>45864</v>
      </c>
      <c r="B36" s="4" t="s">
        <v>33</v>
      </c>
      <c r="C36" s="4" t="s">
        <v>15</v>
      </c>
      <c r="D36" s="4" t="s">
        <v>16</v>
      </c>
      <c r="E36" s="4">
        <v>2400</v>
      </c>
    </row>
    <row r="37" spans="1:5" x14ac:dyDescent="0.2">
      <c r="A37" s="8">
        <v>45874</v>
      </c>
      <c r="B37" s="8" t="s">
        <v>34</v>
      </c>
      <c r="C37" s="8" t="s">
        <v>6</v>
      </c>
      <c r="D37" s="8" t="s">
        <v>7</v>
      </c>
      <c r="E37" s="8">
        <v>12000</v>
      </c>
    </row>
    <row r="38" spans="1:5" x14ac:dyDescent="0.2">
      <c r="A38" s="4">
        <v>45878</v>
      </c>
      <c r="B38" s="4" t="s">
        <v>34</v>
      </c>
      <c r="C38" s="4" t="s">
        <v>8</v>
      </c>
      <c r="D38" s="4" t="s">
        <v>9</v>
      </c>
      <c r="E38" s="4">
        <v>4700</v>
      </c>
    </row>
    <row r="39" spans="1:5" x14ac:dyDescent="0.2">
      <c r="A39" s="8">
        <v>45883</v>
      </c>
      <c r="B39" s="8" t="s">
        <v>34</v>
      </c>
      <c r="C39" s="8" t="s">
        <v>10</v>
      </c>
      <c r="D39" s="8" t="s">
        <v>26</v>
      </c>
      <c r="E39" s="8">
        <v>3100</v>
      </c>
    </row>
    <row r="40" spans="1:5" x14ac:dyDescent="0.2">
      <c r="A40" s="4">
        <v>45889</v>
      </c>
      <c r="B40" s="4" t="s">
        <v>34</v>
      </c>
      <c r="C40" s="4" t="s">
        <v>13</v>
      </c>
      <c r="D40" s="4" t="s">
        <v>29</v>
      </c>
      <c r="E40" s="4">
        <v>2200</v>
      </c>
    </row>
    <row r="41" spans="1:5" x14ac:dyDescent="0.2">
      <c r="A41" s="8">
        <v>45895</v>
      </c>
      <c r="B41" s="8" t="s">
        <v>34</v>
      </c>
      <c r="C41" s="8" t="s">
        <v>15</v>
      </c>
      <c r="D41" s="8" t="s">
        <v>16</v>
      </c>
      <c r="E41" s="8">
        <v>2500</v>
      </c>
    </row>
    <row r="42" spans="1:5" x14ac:dyDescent="0.2">
      <c r="A42" s="4">
        <v>45905</v>
      </c>
      <c r="B42" s="4" t="s">
        <v>35</v>
      </c>
      <c r="C42" s="4" t="s">
        <v>6</v>
      </c>
      <c r="D42" s="4" t="s">
        <v>7</v>
      </c>
      <c r="E42" s="4">
        <v>12000</v>
      </c>
    </row>
    <row r="43" spans="1:5" x14ac:dyDescent="0.2">
      <c r="A43" s="8">
        <v>45908</v>
      </c>
      <c r="B43" s="8" t="s">
        <v>35</v>
      </c>
      <c r="C43" s="8" t="s">
        <v>8</v>
      </c>
      <c r="D43" s="8" t="s">
        <v>9</v>
      </c>
      <c r="E43" s="8">
        <v>4300</v>
      </c>
    </row>
    <row r="44" spans="1:5" x14ac:dyDescent="0.2">
      <c r="A44" s="4">
        <v>45913</v>
      </c>
      <c r="B44" s="4" t="s">
        <v>35</v>
      </c>
      <c r="C44" s="4" t="s">
        <v>10</v>
      </c>
      <c r="D44" s="4" t="s">
        <v>22</v>
      </c>
      <c r="E44" s="4">
        <v>2700</v>
      </c>
    </row>
    <row r="45" spans="1:5" x14ac:dyDescent="0.2">
      <c r="A45" s="8">
        <v>45918</v>
      </c>
      <c r="B45" s="8" t="s">
        <v>35</v>
      </c>
      <c r="C45" s="8" t="s">
        <v>13</v>
      </c>
      <c r="D45" s="8" t="s">
        <v>23</v>
      </c>
      <c r="E45" s="8">
        <v>2000</v>
      </c>
    </row>
    <row r="46" spans="1:5" x14ac:dyDescent="0.2">
      <c r="A46" s="4">
        <v>45925</v>
      </c>
      <c r="B46" s="4" t="s">
        <v>35</v>
      </c>
      <c r="C46" s="4" t="s">
        <v>15</v>
      </c>
      <c r="D46" s="4" t="s">
        <v>16</v>
      </c>
      <c r="E46" s="4">
        <v>2400</v>
      </c>
    </row>
    <row r="47" spans="1:5" x14ac:dyDescent="0.2">
      <c r="A47" s="8">
        <v>45935</v>
      </c>
      <c r="B47" s="8" t="s">
        <v>36</v>
      </c>
      <c r="C47" s="8" t="s">
        <v>6</v>
      </c>
      <c r="D47" s="8" t="s">
        <v>7</v>
      </c>
      <c r="E47" s="8">
        <v>12000</v>
      </c>
    </row>
    <row r="48" spans="1:5" x14ac:dyDescent="0.2">
      <c r="A48" s="4">
        <v>45939</v>
      </c>
      <c r="B48" s="4" t="s">
        <v>36</v>
      </c>
      <c r="C48" s="4" t="s">
        <v>8</v>
      </c>
      <c r="D48" s="4" t="s">
        <v>9</v>
      </c>
      <c r="E48" s="4">
        <v>5000</v>
      </c>
    </row>
    <row r="49" spans="1:5" x14ac:dyDescent="0.2">
      <c r="A49" s="8">
        <v>45944</v>
      </c>
      <c r="B49" s="8" t="s">
        <v>36</v>
      </c>
      <c r="C49" s="8" t="s">
        <v>10</v>
      </c>
      <c r="D49" s="8" t="s">
        <v>26</v>
      </c>
      <c r="E49" s="8">
        <v>3200</v>
      </c>
    </row>
    <row r="50" spans="1:5" x14ac:dyDescent="0.2">
      <c r="A50" s="4">
        <v>45950</v>
      </c>
      <c r="B50" s="4" t="s">
        <v>36</v>
      </c>
      <c r="C50" s="4" t="s">
        <v>13</v>
      </c>
      <c r="D50" s="4" t="s">
        <v>37</v>
      </c>
      <c r="E50" s="4">
        <v>3500</v>
      </c>
    </row>
    <row r="51" spans="1:5" x14ac:dyDescent="0.2">
      <c r="A51" s="8">
        <v>45956</v>
      </c>
      <c r="B51" s="8" t="s">
        <v>36</v>
      </c>
      <c r="C51" s="8" t="s">
        <v>15</v>
      </c>
      <c r="D51" s="8" t="s">
        <v>16</v>
      </c>
      <c r="E51" s="8">
        <v>2800</v>
      </c>
    </row>
    <row r="52" spans="1:5" x14ac:dyDescent="0.2">
      <c r="A52" s="4">
        <v>45966</v>
      </c>
      <c r="B52" s="4" t="s">
        <v>38</v>
      </c>
      <c r="C52" s="4" t="s">
        <v>6</v>
      </c>
      <c r="D52" s="4" t="s">
        <v>7</v>
      </c>
      <c r="E52" s="4">
        <v>12000</v>
      </c>
    </row>
    <row r="53" spans="1:5" x14ac:dyDescent="0.2">
      <c r="A53" s="8">
        <v>45969</v>
      </c>
      <c r="B53" s="8" t="s">
        <v>38</v>
      </c>
      <c r="C53" s="8" t="s">
        <v>8</v>
      </c>
      <c r="D53" s="8" t="s">
        <v>9</v>
      </c>
      <c r="E53" s="8">
        <v>4600</v>
      </c>
    </row>
    <row r="54" spans="1:5" x14ac:dyDescent="0.2">
      <c r="A54" s="4">
        <v>45974</v>
      </c>
      <c r="B54" s="4" t="s">
        <v>38</v>
      </c>
      <c r="C54" s="4" t="s">
        <v>10</v>
      </c>
      <c r="D54" s="4" t="s">
        <v>26</v>
      </c>
      <c r="E54" s="4">
        <v>3000</v>
      </c>
    </row>
    <row r="55" spans="1:5" x14ac:dyDescent="0.2">
      <c r="A55" s="8">
        <v>45980</v>
      </c>
      <c r="B55" s="8" t="s">
        <v>38</v>
      </c>
      <c r="C55" s="8" t="s">
        <v>13</v>
      </c>
      <c r="D55" s="8" t="s">
        <v>14</v>
      </c>
      <c r="E55" s="8">
        <v>2100</v>
      </c>
    </row>
    <row r="56" spans="1:5" x14ac:dyDescent="0.2">
      <c r="A56" s="4">
        <v>45986</v>
      </c>
      <c r="B56" s="4" t="s">
        <v>38</v>
      </c>
      <c r="C56" s="4" t="s">
        <v>15</v>
      </c>
      <c r="D56" s="4" t="s">
        <v>16</v>
      </c>
      <c r="E56" s="4">
        <v>2600</v>
      </c>
    </row>
    <row r="57" spans="1:5" x14ac:dyDescent="0.2">
      <c r="A57" s="8">
        <v>45996</v>
      </c>
      <c r="B57" s="8" t="s">
        <v>39</v>
      </c>
      <c r="C57" s="8" t="s">
        <v>6</v>
      </c>
      <c r="D57" s="8" t="s">
        <v>7</v>
      </c>
      <c r="E57" s="8">
        <v>12000</v>
      </c>
    </row>
    <row r="58" spans="1:5" x14ac:dyDescent="0.2">
      <c r="A58" s="4">
        <v>46000</v>
      </c>
      <c r="B58" s="4" t="s">
        <v>39</v>
      </c>
      <c r="C58" s="4" t="s">
        <v>8</v>
      </c>
      <c r="D58" s="4" t="s">
        <v>9</v>
      </c>
      <c r="E58" s="4">
        <v>5400</v>
      </c>
    </row>
    <row r="59" spans="1:5" x14ac:dyDescent="0.2">
      <c r="A59" s="8">
        <v>46005</v>
      </c>
      <c r="B59" s="8" t="s">
        <v>39</v>
      </c>
      <c r="C59" s="8" t="s">
        <v>10</v>
      </c>
      <c r="D59" s="8" t="s">
        <v>40</v>
      </c>
      <c r="E59" s="8">
        <v>3600</v>
      </c>
    </row>
    <row r="60" spans="1:5" x14ac:dyDescent="0.2">
      <c r="A60" s="4">
        <v>46011</v>
      </c>
      <c r="B60" s="4" t="s">
        <v>39</v>
      </c>
      <c r="C60" s="4" t="s">
        <v>13</v>
      </c>
      <c r="D60" s="4" t="s">
        <v>41</v>
      </c>
      <c r="E60" s="4">
        <v>4000</v>
      </c>
    </row>
    <row r="61" spans="1:5" x14ac:dyDescent="0.2">
      <c r="A61" s="9">
        <v>46017</v>
      </c>
      <c r="B61" s="9" t="s">
        <v>39</v>
      </c>
      <c r="C61" s="9" t="s">
        <v>15</v>
      </c>
      <c r="D61" s="9" t="s">
        <v>16</v>
      </c>
      <c r="E61" s="9">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Mohan siva kumar Maguluri</cp:lastModifiedBy>
  <dcterms:created xsi:type="dcterms:W3CDTF">2026-01-20T04:18:20Z</dcterms:created>
  <dcterms:modified xsi:type="dcterms:W3CDTF">2026-01-23T07:05:11Z</dcterms:modified>
</cp:coreProperties>
</file>